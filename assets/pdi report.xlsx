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ThisWorkbook"/>
  <mc:AlternateContent xmlns:mc="http://schemas.openxmlformats.org/markup-compatibility/2006">
    <mc:Choice Requires="x15">
      <x15ac:absPath xmlns:x15ac="http://schemas.microsoft.com/office/spreadsheetml/2010/11/ac" url="C:\Users\vishnubr\Documents\GitHub\GSS-PDI-Form\assets\"/>
    </mc:Choice>
  </mc:AlternateContent>
  <xr:revisionPtr revIDLastSave="0" documentId="13_ncr:1_{A363B4DC-25B1-4086-AA1E-D6A2FB0B4336}" xr6:coauthVersionLast="47" xr6:coauthVersionMax="47" xr10:uidLastSave="{00000000-0000-0000-0000-000000000000}"/>
  <bookViews>
    <workbookView xWindow="-120" yWindow="-120" windowWidth="24240" windowHeight="13020" tabRatio="567" activeTab="1" xr2:uid="{00000000-000D-0000-FFFF-FFFF00000000}"/>
  </bookViews>
  <sheets>
    <sheet name="GOE003683 zenith 3" sheetId="904" r:id="rId1"/>
    <sheet name="GOE003701 IM Rugby 32" sheetId="882" r:id="rId2"/>
    <sheet name="Sheet1" sheetId="797" r:id="rId3"/>
    <sheet name="GOM000137 DIDD Gayatri (3)" sheetId="236" state="hidden" r:id="rId4"/>
  </sheets>
  <definedNames>
    <definedName name="_xlnm._FilterDatabase" localSheetId="0" hidden="1">'GOE003683 zenith 3'!$A$3:$T$27</definedName>
    <definedName name="_xlnm._FilterDatabase" localSheetId="1" hidden="1">'GOE003701 IM Rugby 32'!$A$3:$T$17</definedName>
    <definedName name="_xlnm._FilterDatabase" localSheetId="3" hidden="1">'GOM000137 DIDD Gayatri (3)'!$A$3:$T$24</definedName>
    <definedName name="_xlnm.Print_Area" localSheetId="0">'GOE003683 zenith 3'!$A$1:$T$22</definedName>
    <definedName name="_xlnm.Print_Area" localSheetId="1">'GOE003701 IM Rugby 32'!$B$1:$T$12</definedName>
    <definedName name="_xlnm.Print_Area" localSheetId="3">'GOM000137 DIDD Gayatri (3)'!$B$1:$T$19</definedName>
    <definedName name="_xlnm.Print_Titles" localSheetId="0">'GOE003683 zenith 3'!$1:$3</definedName>
    <definedName name="_xlnm.Print_Titles" localSheetId="1">'GOE003701 IM Rugby 32'!$1:$3</definedName>
    <definedName name="_xlnm.Print_Titles" localSheetId="3">'GOM000137 DIDD Gayatri (3)'!$1:$3</definedName>
    <definedName name="tcyesno" localSheetId="0">'GOE003683 zenith 3'!#REF!</definedName>
    <definedName name="tcyesno" localSheetId="1">'GOE003701 IM Rugby 32'!#REF!</definedName>
    <definedName name="tcyesno">#REF!</definedName>
    <definedName name="tdsls.oltp" localSheetId="0">'GOE003683 zenith 3'!#REF!</definedName>
    <definedName name="tdsls.oltp" localSheetId="1">'GOE003701 IM Rugby 32'!#REF!</definedName>
    <definedName name="tdsls.oltp">#REF!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5" i="904" l="1"/>
  <c r="J6" i="904"/>
  <c r="J7" i="904"/>
  <c r="J8" i="904"/>
  <c r="J9" i="904"/>
  <c r="J10" i="904"/>
  <c r="J11" i="904"/>
  <c r="J12" i="904"/>
  <c r="J13" i="904"/>
  <c r="J14" i="904"/>
  <c r="J15" i="904"/>
  <c r="J16" i="904"/>
  <c r="J4" i="904" l="1"/>
  <c r="J6" i="882" l="1"/>
  <c r="J5" i="882"/>
  <c r="J4" i="882"/>
  <c r="J13" i="236" l="1"/>
  <c r="J12" i="236"/>
  <c r="J4" i="236"/>
</calcChain>
</file>

<file path=xl/sharedStrings.xml><?xml version="1.0" encoding="utf-8"?>
<sst xmlns="http://schemas.openxmlformats.org/spreadsheetml/2006/main" count="271" uniqueCount="140">
  <si>
    <t>GSS - Quality assurance</t>
  </si>
  <si>
    <t>PDI INSPECTION REPORT</t>
  </si>
  <si>
    <t>Month: OCT 2025</t>
  </si>
  <si>
    <t>Container Humidity:</t>
  </si>
  <si>
    <t>Container visual check :     YES / NO</t>
  </si>
  <si>
    <t xml:space="preserve">Customer Name </t>
  </si>
  <si>
    <t xml:space="preserve">LOADING BAY NO : </t>
  </si>
  <si>
    <t>40 FT</t>
  </si>
  <si>
    <t>NO OF DESSICANT PROVIDED</t>
  </si>
  <si>
    <t xml:space="preserve">No of Container </t>
  </si>
  <si>
    <t>ContainerNo:</t>
  </si>
  <si>
    <t>Order</t>
  </si>
  <si>
    <t>Sl No</t>
  </si>
  <si>
    <t>UNSPC CODE</t>
  </si>
  <si>
    <t>Description</t>
  </si>
  <si>
    <t>Godrej Drg .  No</t>
  </si>
  <si>
    <t>Loaded</t>
  </si>
  <si>
    <t>Parts/Pack</t>
  </si>
  <si>
    <t>No of Pack</t>
  </si>
  <si>
    <t>Sticker No</t>
  </si>
  <si>
    <t xml:space="preserve">Any specific details </t>
  </si>
  <si>
    <t>Dimn Checked</t>
  </si>
  <si>
    <t>Color</t>
  </si>
  <si>
    <t>Parts/ Pack</t>
  </si>
  <si>
    <t>No of packs</t>
  </si>
  <si>
    <t>Pack Counting</t>
  </si>
  <si>
    <t>Total Qty Loaded</t>
  </si>
  <si>
    <t xml:space="preserve">Packing sticker 
Sl No </t>
  </si>
  <si>
    <t>Remarks</t>
  </si>
  <si>
    <t>PDI  Date 
&amp; Shift</t>
  </si>
  <si>
    <t>Insp By</t>
  </si>
  <si>
    <t>24102099DG00458</t>
  </si>
  <si>
    <t>SHELF PNL D600 W1000 1 GA</t>
  </si>
  <si>
    <t>Bm HEM+ H125 1.5 L2700 OR</t>
  </si>
  <si>
    <t xml:space="preserve">Loading Started Date &amp; Time  :
Loading Completed Date &amp; Time :                                                                                                     </t>
  </si>
  <si>
    <t>Loading Operator:</t>
  </si>
  <si>
    <t>Approved By:</t>
  </si>
  <si>
    <t>GSS/QA/PDI/IR/02                                                      Rev No : 2   Rev Date : 27/01/2020</t>
  </si>
  <si>
    <t>Bm HEM+ H125 1.5 L1400 OR</t>
  </si>
  <si>
    <t>PG: BL1T
Location: Kuwait</t>
  </si>
  <si>
    <t>1)To ensure no short or wrong supply during loading
2)Non palletized loading
3)Container to be cleaned before loading</t>
  </si>
  <si>
    <t>Empty Cont image</t>
  </si>
  <si>
    <t xml:space="preserve">palletization </t>
  </si>
  <si>
    <t>no</t>
  </si>
  <si>
    <t xml:space="preserve">  </t>
  </si>
  <si>
    <t>Stage 1 image</t>
  </si>
  <si>
    <t>fumigation (containers with wood)</t>
  </si>
  <si>
    <t>YES</t>
  </si>
  <si>
    <t>ROW CONT GX W30 1.5 L150 SB</t>
  </si>
  <si>
    <t>Stage 2 image</t>
  </si>
  <si>
    <t>Fastners image</t>
  </si>
  <si>
    <t>Marking/ labelling requirement</t>
  </si>
  <si>
    <t>yes</t>
  </si>
  <si>
    <t>BASEPLATE GX90 T1 H53 3.15 SB</t>
  </si>
  <si>
    <t>Completed Cont Image</t>
  </si>
  <si>
    <t>31211504SD00124</t>
  </si>
  <si>
    <t>IndPnt Acr QD SG Orange</t>
  </si>
  <si>
    <t/>
  </si>
  <si>
    <t>LOGICAL STORAGE - GOE003701 IM Rugby Frames</t>
  </si>
  <si>
    <t>To Load</t>
  </si>
  <si>
    <t>Parts/Pallet</t>
  </si>
  <si>
    <t>nos of pallet</t>
  </si>
  <si>
    <t>IS/HD/A3/41503R0</t>
  </si>
  <si>
    <t>24102099DG64142</t>
  </si>
  <si>
    <t>Bm HEM+ H85 1.2 L2750 SW</t>
  </si>
  <si>
    <t>IS/HD/S3/1048R5</t>
  </si>
  <si>
    <t>PG: HDS
Location : UK</t>
  </si>
  <si>
    <t>•The Importers Name and address &amp; Country of Origin as per below, should be clearly written on the body of the carton/package/cases with Permanent ink.
•Palletized loading as per UK STD loading pattern.
•100% quality check to be carried out before dispatch and quality inspection to be submitted to sales team for further submission to customer.
•Photos of empty container and damages to be checked and photos to be shared to projects team for further sharing to Logical
•Incase bracing and uprights are clubbed in one container, Uprights to be loaded at rear end (unloading end) of the containers as it would be easier for them to unload this first.
•Fumigation required for wooden crates.</t>
  </si>
  <si>
    <t>24102099DG64159</t>
  </si>
  <si>
    <t>Upright GXL110AP 1.8 L10700 SW</t>
  </si>
  <si>
    <t>1~4</t>
  </si>
  <si>
    <t>5~12</t>
  </si>
  <si>
    <t>32 of 60</t>
  </si>
  <si>
    <t>IS/BL/S3/101R2</t>
  </si>
  <si>
    <t>1~187</t>
  </si>
  <si>
    <t>188~188</t>
  </si>
  <si>
    <t>IS/BL/S3/102R3</t>
  </si>
  <si>
    <t>24102099DG21294</t>
  </si>
  <si>
    <t>Shelf stiffener A995 0.7 GA</t>
  </si>
  <si>
    <t>IS/BL/S3/104R1</t>
  </si>
  <si>
    <t>24102097DG16936</t>
  </si>
  <si>
    <t>Back tie rod L1 L2115 GA</t>
  </si>
  <si>
    <t>IS/BL/S3/108R0</t>
  </si>
  <si>
    <t>24102097DG07149</t>
  </si>
  <si>
    <t>BASEPLATE G50  SF GA</t>
  </si>
  <si>
    <t>IS/BL/S3/106R1</t>
  </si>
  <si>
    <t>24102097DG77988</t>
  </si>
  <si>
    <t>Bracing G50 B600 1.2 GA</t>
  </si>
  <si>
    <t>IS/BL/S3/340R1</t>
  </si>
  <si>
    <t>24102097DG11485</t>
  </si>
  <si>
    <t>Shelf clip G50 2.3 L69 GA</t>
  </si>
  <si>
    <t>IS/BL/S3/200R1</t>
  </si>
  <si>
    <t>24102097DG07153</t>
  </si>
  <si>
    <t>Back tie rod cleat G50 LH GA</t>
  </si>
  <si>
    <t>IS/BL/S3/137R0</t>
  </si>
  <si>
    <t>24102097DG07154</t>
  </si>
  <si>
    <t>Back tie rod cleat G50 RH GA</t>
  </si>
  <si>
    <t>31162405SD00078</t>
  </si>
  <si>
    <t>Turnbuckle E&amp;H M6 90mm Zinc</t>
  </si>
  <si>
    <t>IS/BO/S3/133R0</t>
  </si>
  <si>
    <t>802~802</t>
  </si>
  <si>
    <t>IS/HD/S3/548R1</t>
  </si>
  <si>
    <t>Month: MAR 2025</t>
  </si>
  <si>
    <t>GOM000137 DIDD Gayatri</t>
  </si>
  <si>
    <t>2 of 2</t>
  </si>
  <si>
    <t>part/pack</t>
  </si>
  <si>
    <t>nos of pack</t>
  </si>
  <si>
    <t>Sticker no</t>
  </si>
  <si>
    <t>24102099DG37609</t>
  </si>
  <si>
    <t>UPRIGHT GXL W110 1.8 L6700 SB</t>
  </si>
  <si>
    <t>24102099DG37836</t>
  </si>
  <si>
    <t>UPRIGHT GXL W110 2.5 L8800 SB</t>
  </si>
  <si>
    <t>24102099DG15441</t>
  </si>
  <si>
    <t>DIAG BRAC GX W110 1.4 L1023 GA</t>
  </si>
  <si>
    <t>IS/HD/S3/559R2</t>
  </si>
  <si>
    <t>24102099DG14826</t>
  </si>
  <si>
    <t>HORZ BRAC GX W110 1.4 L828 GA</t>
  </si>
  <si>
    <t>24102097DG94209</t>
  </si>
  <si>
    <t>BASE PLATE GX110 H105 8 SB</t>
  </si>
  <si>
    <t>IS/DR/A3/6355R0</t>
  </si>
  <si>
    <t>24102099DG26428</t>
  </si>
  <si>
    <t>Bm TPSTHEM+3HH100 1.5 L1490 OR</t>
  </si>
  <si>
    <t>IS/DR/S3/324R0</t>
  </si>
  <si>
    <t xml:space="preserve">LOADING OPERATOR : </t>
  </si>
  <si>
    <t>PG: SPRS,DR,MPR
Location : Ghana,Africa</t>
  </si>
  <si>
    <t>1)To ensure no short or wrong supply during loading
2)average 80 microns min to be checked and ensured in powder coating. 
3)Non palletized loading
4)Packaging as per export norms as the material needs to be dipatched for Ghana (Customer will lift the material from Port and transport by own to Ghana location, so Packaging should be with considering export case)</t>
  </si>
  <si>
    <t>24102099DG00123</t>
  </si>
  <si>
    <t>Upright G50 1.2 L5995 OB</t>
  </si>
  <si>
    <t xml:space="preserve">GOE003683 MENA ZENITH </t>
  </si>
  <si>
    <t>3 of 3</t>
  </si>
  <si>
    <t>189~191</t>
  </si>
  <si>
    <t>192~291</t>
  </si>
  <si>
    <t>292~491</t>
  </si>
  <si>
    <t>492~535</t>
  </si>
  <si>
    <t>536~795</t>
  </si>
  <si>
    <t>796~798</t>
  </si>
  <si>
    <t>799~799</t>
  </si>
  <si>
    <t>800~800</t>
  </si>
  <si>
    <t>801~801</t>
  </si>
  <si>
    <t>803~803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</si>
</sst>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 #,##0.00_ ;_ * \-#,##0.00_ ;_ * &quot;-&quot;??_ ;_ @_ "/>
  </numFmts>
  <fonts count="24" x14ac:knownFonts="1">
    <font>
      <sz val="11"/>
      <color theme="1"/>
      <name val="Calibri"/>
      <family val="2"/>
      <scheme val="minor"/>
    </font>
    <font>
      <sz val="11"/>
      <color theme="1"/>
      <name val="Calibri"/>
      <family val="2"/>
      <scheme val="minor"/>
    </font>
    <font>
      <sz val="28"/>
      <color theme="1"/>
      <name val="Arial"/>
      <family val="2"/>
    </font>
    <font>
      <b/>
      <sz val="48"/>
      <color theme="1"/>
      <name val="Arial"/>
      <family val="2"/>
    </font>
    <font>
      <b/>
      <sz val="72"/>
      <color theme="1"/>
      <name val="Arial"/>
      <family val="2"/>
    </font>
    <font>
      <b/>
      <sz val="28"/>
      <color theme="1"/>
      <name val="Arial"/>
      <family val="2"/>
    </font>
    <font>
      <b/>
      <sz val="36"/>
      <color theme="1"/>
      <name val="Calibri"/>
      <family val="2"/>
      <scheme val="minor"/>
    </font>
    <font>
      <sz val="26"/>
      <color theme="1"/>
      <name val="Arial"/>
      <family val="2"/>
    </font>
    <font>
      <sz val="26"/>
      <color theme="1"/>
      <name val="Calibri"/>
      <family val="2"/>
      <scheme val="minor"/>
    </font>
    <font>
      <sz val="36"/>
      <color theme="1"/>
      <name val="Arial"/>
      <family val="2"/>
    </font>
    <font>
      <sz val="24"/>
      <color theme="1"/>
      <name val="Arial"/>
      <family val="2"/>
    </font>
    <font>
      <b/>
      <sz val="24"/>
      <color theme="1"/>
      <name val="Arial"/>
      <family val="2"/>
    </font>
    <font>
      <b/>
      <sz val="20"/>
      <color theme="1"/>
      <name val="Calibri"/>
      <family val="2"/>
      <scheme val="minor"/>
    </font>
    <font>
      <b/>
      <sz val="48"/>
      <color theme="1"/>
      <name val="Calibri Light"/>
      <family val="2"/>
      <scheme val="major"/>
    </font>
    <font>
      <b/>
      <sz val="26"/>
      <color theme="1"/>
      <name val="Calibri"/>
      <family val="2"/>
      <scheme val="minor"/>
    </font>
    <font>
      <b/>
      <sz val="22"/>
      <color theme="1"/>
      <name val="Arial"/>
      <family val="2"/>
    </font>
    <font>
      <b/>
      <sz val="24"/>
      <color theme="1"/>
      <name val="Calibri"/>
      <family val="2"/>
      <scheme val="minor"/>
    </font>
    <font>
      <b/>
      <sz val="22"/>
      <color indexed="9"/>
      <name val="Arial"/>
      <family val="2"/>
    </font>
    <font>
      <b/>
      <sz val="24"/>
      <color indexed="9"/>
      <name val="Arial"/>
      <family val="2"/>
    </font>
    <font>
      <sz val="11"/>
      <color indexed="8"/>
      <name val="Calibri"/>
      <family val="2"/>
      <scheme val="minor"/>
    </font>
    <font>
      <b/>
      <sz val="28"/>
      <color rgb="FF000000"/>
      <name val="Calibri"/>
      <family val="2"/>
      <scheme val="minor"/>
    </font>
    <font>
      <sz val="24"/>
      <color theme="1"/>
      <name val="Calibri"/>
      <family val="2"/>
      <scheme val="minor"/>
    </font>
    <font>
      <sz val="10"/>
      <name val="Arial"/>
      <family val="2"/>
    </font>
    <font>
      <sz val="22"/>
      <color theme="1"/>
      <name val="Arial"/>
      <family val="2"/>
    </font>
  </fonts>
  <fills count="4">
    <fill>
      <patternFill patternType="none"/>
    </fill>
    <fill>
      <patternFill patternType="gray125"/>
    </fill>
    <fill>
      <patternFill patternType="solid">
        <fgColor indexed="60"/>
        <bgColor indexed="64"/>
      </patternFill>
    </fill>
    <fill>
      <patternFill patternType="solid">
        <fgColor rgb="FFFFFF00"/>
        <bgColor indexed="64"/>
      </patternFill>
    </fill>
  </fills>
  <borders count="13">
    <border>
      <left/>
      <right/>
      <top/>
      <bottom/>
      <diagonal/>
    </border>
    <border>
      <left style="medium">
        <color auto="1"/>
      </left>
      <right/>
      <top style="medium">
        <color auto="1"/>
      </top>
      <bottom style="medium">
        <color auto="1"/>
      </bottom>
      <diagonal/>
    </border>
    <border>
      <left style="thin">
        <color auto="1"/>
      </left>
      <right style="thin">
        <color auto="1"/>
      </right>
      <top style="thin">
        <color auto="1"/>
      </top>
      <bottom style="thin">
        <color auto="1"/>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9">
    <xf numFmtId="0" fontId="0" fillId="0" borderId="0"/>
    <xf numFmtId="0" fontId="1" fillId="0" borderId="0"/>
    <xf numFmtId="0" fontId="19" fillId="0" borderId="0"/>
    <xf numFmtId="0" fontId="22"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cellStyleXfs>
  <cellXfs count="74">
    <xf numFmtId="0" fontId="0" fillId="0" borderId="0" xfId="0"/>
    <xf numFmtId="0" fontId="2" fillId="0" borderId="1" xfId="1" applyFont="1" applyBorder="1"/>
    <xf numFmtId="0" fontId="5" fillId="0" borderId="2" xfId="1" applyFont="1" applyBorder="1" applyAlignment="1">
      <alignment horizontal="center" vertical="center" wrapText="1"/>
    </xf>
    <xf numFmtId="0" fontId="2" fillId="0" borderId="2" xfId="1" applyFont="1" applyBorder="1"/>
    <xf numFmtId="0" fontId="2" fillId="0" borderId="0" xfId="1" applyFont="1"/>
    <xf numFmtId="0" fontId="2" fillId="0" borderId="1" xfId="1" applyFont="1" applyBorder="1" applyAlignment="1">
      <alignment horizontal="center" vertical="center"/>
    </xf>
    <xf numFmtId="0" fontId="5" fillId="0" borderId="2" xfId="1" applyFont="1" applyBorder="1" applyAlignment="1">
      <alignment horizontal="center" vertical="center"/>
    </xf>
    <xf numFmtId="0" fontId="5" fillId="0" borderId="2" xfId="1" applyFont="1" applyBorder="1" applyAlignment="1">
      <alignment vertical="center"/>
    </xf>
    <xf numFmtId="0" fontId="2" fillId="0" borderId="2" xfId="1" applyFont="1" applyBorder="1" applyAlignment="1">
      <alignment horizontal="center" vertical="center"/>
    </xf>
    <xf numFmtId="0" fontId="2" fillId="0" borderId="0" xfId="1" applyFont="1" applyAlignment="1">
      <alignment horizontal="center" vertical="center"/>
    </xf>
    <xf numFmtId="0" fontId="7" fillId="0" borderId="2" xfId="1" applyFont="1" applyBorder="1" applyAlignment="1">
      <alignment horizontal="center" vertical="center" wrapText="1"/>
    </xf>
    <xf numFmtId="0" fontId="8" fillId="0" borderId="2" xfId="0" applyFont="1" applyBorder="1" applyAlignment="1">
      <alignment horizontal="center" vertical="center"/>
    </xf>
    <xf numFmtId="0" fontId="8" fillId="0" borderId="2" xfId="0" applyFont="1" applyBorder="1" applyAlignment="1">
      <alignment horizontal="center" vertical="center" wrapText="1"/>
    </xf>
    <xf numFmtId="0" fontId="0" fillId="0" borderId="2" xfId="0" applyBorder="1"/>
    <xf numFmtId="0" fontId="10" fillId="0" borderId="2" xfId="1" applyFont="1" applyBorder="1" applyAlignment="1">
      <alignment vertical="center"/>
    </xf>
    <xf numFmtId="0" fontId="11" fillId="0" borderId="0" xfId="1" applyFont="1" applyAlignment="1">
      <alignment horizontal="center" vertical="center" wrapText="1"/>
    </xf>
    <xf numFmtId="0" fontId="14" fillId="3" borderId="2" xfId="0" applyFont="1" applyFill="1" applyBorder="1" applyAlignment="1">
      <alignment horizontal="left" vertical="top" wrapText="1"/>
    </xf>
    <xf numFmtId="0" fontId="6" fillId="0" borderId="2" xfId="0" applyFont="1" applyBorder="1" applyAlignment="1">
      <alignment vertical="center" wrapText="1"/>
    </xf>
    <xf numFmtId="0" fontId="15" fillId="0" borderId="2" xfId="0" applyFont="1" applyBorder="1" applyAlignment="1">
      <alignment horizontal="center" vertical="center" wrapText="1"/>
    </xf>
    <xf numFmtId="0" fontId="11" fillId="0" borderId="2" xfId="1" applyFont="1" applyBorder="1" applyAlignment="1">
      <alignment horizontal="center" vertical="center" wrapText="1"/>
    </xf>
    <xf numFmtId="0" fontId="0" fillId="0" borderId="2" xfId="0" applyBorder="1" applyAlignment="1">
      <alignment vertical="center" wrapText="1"/>
    </xf>
    <xf numFmtId="0" fontId="0" fillId="0" borderId="0" xfId="0" applyAlignment="1">
      <alignment vertical="center" wrapText="1"/>
    </xf>
    <xf numFmtId="0" fontId="16" fillId="3" borderId="2" xfId="0" applyFont="1" applyFill="1" applyBorder="1" applyAlignment="1">
      <alignment vertical="center" wrapText="1"/>
    </xf>
    <xf numFmtId="0" fontId="17" fillId="2" borderId="1" xfId="1" applyFont="1" applyFill="1" applyBorder="1" applyAlignment="1">
      <alignment horizontal="center" vertical="center" wrapText="1"/>
    </xf>
    <xf numFmtId="0" fontId="18" fillId="2" borderId="0" xfId="1" applyFont="1" applyFill="1" applyAlignment="1">
      <alignment horizontal="center" vertical="center" wrapText="1"/>
    </xf>
    <xf numFmtId="0" fontId="15" fillId="0" borderId="2" xfId="1" applyFont="1" applyBorder="1" applyAlignment="1">
      <alignment horizontal="center" vertical="center" wrapText="1"/>
    </xf>
    <xf numFmtId="0" fontId="15" fillId="0" borderId="0" xfId="1" applyFont="1" applyAlignment="1">
      <alignment horizontal="center" vertical="center" wrapText="1"/>
    </xf>
    <xf numFmtId="0" fontId="17" fillId="2" borderId="0" xfId="1" applyFont="1" applyFill="1" applyAlignment="1">
      <alignment horizontal="center" vertical="center" wrapText="1"/>
    </xf>
    <xf numFmtId="0" fontId="15" fillId="0" borderId="4" xfId="1" applyFont="1" applyBorder="1" applyAlignment="1">
      <alignment horizontal="center" vertical="center" wrapText="1"/>
    </xf>
    <xf numFmtId="0" fontId="21" fillId="0" borderId="2" xfId="0" applyFont="1" applyBorder="1" applyAlignment="1">
      <alignment horizontal="center" vertical="center"/>
    </xf>
    <xf numFmtId="0" fontId="0" fillId="0" borderId="0" xfId="1" applyFont="1"/>
    <xf numFmtId="0" fontId="0" fillId="0" borderId="2" xfId="1" applyFont="1" applyBorder="1"/>
    <xf numFmtId="0" fontId="10" fillId="0" borderId="2" xfId="1" applyFont="1" applyBorder="1" applyAlignment="1">
      <alignment horizontal="center" vertical="center"/>
    </xf>
    <xf numFmtId="0" fontId="23" fillId="0" borderId="2" xfId="1" applyFont="1" applyBorder="1" applyAlignment="1">
      <alignment horizontal="center" vertical="center" wrapText="1"/>
    </xf>
    <xf numFmtId="0" fontId="8" fillId="0" borderId="2" xfId="0" applyFont="1" applyBorder="1" applyAlignment="1">
      <alignment vertical="center" wrapText="1"/>
    </xf>
    <xf numFmtId="0" fontId="9" fillId="0" borderId="3" xfId="1" applyFont="1" applyBorder="1" applyAlignment="1">
      <alignment horizontal="left" vertical="center" wrapText="1"/>
    </xf>
    <xf numFmtId="0" fontId="9" fillId="0" borderId="5" xfId="1" applyFont="1" applyBorder="1" applyAlignment="1">
      <alignment horizontal="left" vertical="center" wrapText="1"/>
    </xf>
    <xf numFmtId="0" fontId="10" fillId="0" borderId="3" xfId="1" applyFont="1" applyBorder="1" applyAlignment="1">
      <alignment horizontal="center" vertical="center" wrapText="1"/>
    </xf>
    <xf numFmtId="0" fontId="10" fillId="0" borderId="4" xfId="1" applyFont="1" applyBorder="1" applyAlignment="1">
      <alignment horizontal="center" vertical="center" wrapText="1"/>
    </xf>
    <xf numFmtId="0" fontId="11" fillId="0" borderId="3" xfId="1" applyFont="1" applyBorder="1" applyAlignment="1">
      <alignment horizontal="center" vertical="center" wrapText="1"/>
    </xf>
    <xf numFmtId="0" fontId="11" fillId="0" borderId="5" xfId="1" applyFont="1" applyBorder="1" applyAlignment="1">
      <alignment horizontal="center" vertical="center" wrapText="1"/>
    </xf>
    <xf numFmtId="0" fontId="11" fillId="0" borderId="4" xfId="1" applyFont="1" applyBorder="1" applyAlignment="1">
      <alignment horizontal="center" vertical="center" wrapText="1"/>
    </xf>
    <xf numFmtId="0" fontId="12" fillId="0" borderId="3" xfId="1" applyFont="1" applyBorder="1" applyAlignment="1">
      <alignment vertical="center" wrapText="1"/>
    </xf>
    <xf numFmtId="0" fontId="12" fillId="0" borderId="5" xfId="1" applyFont="1" applyBorder="1" applyAlignment="1">
      <alignment vertical="center" wrapText="1"/>
    </xf>
    <xf numFmtId="0" fontId="12" fillId="0" borderId="4" xfId="1" applyFont="1" applyBorder="1" applyAlignment="1">
      <alignment vertical="center" wrapText="1"/>
    </xf>
    <xf numFmtId="0" fontId="13" fillId="0" borderId="6" xfId="0" applyFont="1" applyBorder="1" applyAlignment="1">
      <alignment horizontal="center" vertical="center" wrapText="1"/>
    </xf>
    <xf numFmtId="0" fontId="13" fillId="0" borderId="7" xfId="0" applyFont="1" applyBorder="1" applyAlignment="1">
      <alignment horizontal="center" vertical="center" wrapText="1"/>
    </xf>
    <xf numFmtId="0" fontId="13" fillId="0" borderId="8" xfId="0" applyFont="1" applyBorder="1" applyAlignment="1">
      <alignment horizontal="center" vertical="center" wrapText="1"/>
    </xf>
    <xf numFmtId="0" fontId="13" fillId="0" borderId="9" xfId="0" applyFont="1" applyBorder="1" applyAlignment="1">
      <alignment horizontal="center" vertical="center" wrapText="1"/>
    </xf>
    <xf numFmtId="0" fontId="13" fillId="0" borderId="0" xfId="0" applyFont="1" applyAlignment="1">
      <alignment horizontal="center" vertical="center" wrapText="1"/>
    </xf>
    <xf numFmtId="0" fontId="13" fillId="0" borderId="10" xfId="0" applyFont="1" applyBorder="1" applyAlignment="1">
      <alignment horizontal="center" vertical="center" wrapText="1"/>
    </xf>
    <xf numFmtId="0" fontId="20" fillId="0" borderId="7" xfId="0" applyFont="1" applyBorder="1" applyAlignment="1">
      <alignment horizontal="left" vertical="center" wrapText="1"/>
    </xf>
    <xf numFmtId="0" fontId="20" fillId="0" borderId="8" xfId="0" applyFont="1" applyBorder="1" applyAlignment="1">
      <alignment horizontal="left" vertical="center" wrapText="1"/>
    </xf>
    <xf numFmtId="0" fontId="20" fillId="0" borderId="0" xfId="0" applyFont="1" applyAlignment="1">
      <alignment horizontal="left" vertical="center" wrapText="1"/>
    </xf>
    <xf numFmtId="0" fontId="20" fillId="0" borderId="10" xfId="0" applyFont="1" applyBorder="1" applyAlignment="1">
      <alignment horizontal="left" vertical="center" wrapText="1"/>
    </xf>
    <xf numFmtId="0" fontId="15" fillId="0" borderId="11" xfId="0" applyFont="1" applyBorder="1" applyAlignment="1">
      <alignment horizontal="center" vertical="center" wrapText="1"/>
    </xf>
    <xf numFmtId="0" fontId="15" fillId="0" borderId="12" xfId="0" applyFont="1" applyBorder="1" applyAlignment="1">
      <alignment horizontal="center" vertical="center" wrapText="1"/>
    </xf>
    <xf numFmtId="0" fontId="15" fillId="0" borderId="2" xfId="0" applyFont="1" applyBorder="1" applyAlignment="1">
      <alignment horizontal="center" vertical="center" wrapText="1"/>
    </xf>
    <xf numFmtId="0" fontId="3" fillId="0" borderId="2" xfId="1" applyFont="1" applyBorder="1" applyAlignment="1">
      <alignment horizontal="center" vertical="center"/>
    </xf>
    <xf numFmtId="0" fontId="4" fillId="0" borderId="2" xfId="1" applyFont="1" applyBorder="1" applyAlignment="1">
      <alignment horizontal="center" vertical="center" wrapText="1"/>
    </xf>
    <xf numFmtId="0" fontId="5" fillId="0" borderId="2" xfId="1" applyFont="1" applyBorder="1" applyAlignment="1">
      <alignment horizontal="center" vertical="center" wrapText="1"/>
    </xf>
    <xf numFmtId="0" fontId="5" fillId="0" borderId="2" xfId="1" applyFont="1" applyBorder="1" applyAlignment="1">
      <alignment horizontal="left" vertical="center"/>
    </xf>
    <xf numFmtId="0" fontId="5" fillId="0" borderId="2" xfId="1" applyFont="1" applyBorder="1" applyAlignment="1">
      <alignment horizontal="left" vertical="center" wrapText="1"/>
    </xf>
    <xf numFmtId="0" fontId="5" fillId="0" borderId="2" xfId="1" applyFont="1" applyBorder="1" applyAlignment="1">
      <alignment horizontal="center" vertical="center"/>
    </xf>
    <xf numFmtId="0" fontId="6" fillId="0" borderId="3" xfId="0" applyFont="1" applyBorder="1" applyAlignment="1">
      <alignment horizontal="center" vertical="center" wrapText="1"/>
    </xf>
    <xf numFmtId="0" fontId="6" fillId="0" borderId="4" xfId="0" applyFont="1" applyBorder="1" applyAlignment="1">
      <alignment horizontal="center" vertical="center" wrapText="1"/>
    </xf>
    <xf numFmtId="1" fontId="5" fillId="0" borderId="2" xfId="1" applyNumberFormat="1" applyFont="1" applyBorder="1" applyAlignment="1">
      <alignment horizontal="center" vertical="center"/>
    </xf>
    <xf numFmtId="0" fontId="23" fillId="0" borderId="11" xfId="1" applyFont="1" applyBorder="1" applyAlignment="1">
      <alignment horizontal="center" vertical="center" wrapText="1"/>
    </xf>
    <xf numFmtId="0" fontId="23" fillId="0" borderId="12" xfId="1" applyFont="1" applyBorder="1" applyAlignment="1">
      <alignment horizontal="center" vertical="center" wrapText="1"/>
    </xf>
    <xf numFmtId="0" fontId="8" fillId="0" borderId="11" xfId="0" applyFont="1" applyBorder="1" applyAlignment="1">
      <alignment horizontal="center" vertical="center"/>
    </xf>
    <xf numFmtId="0" fontId="8" fillId="0" borderId="12" xfId="0" applyFont="1" applyBorder="1" applyAlignment="1">
      <alignment horizontal="center" vertical="center"/>
    </xf>
    <xf numFmtId="2" fontId="5" fillId="0" borderId="2" xfId="1" applyNumberFormat="1" applyFont="1" applyBorder="1" applyAlignment="1">
      <alignment horizontal="center" vertical="center"/>
    </xf>
    <xf numFmtId="0" fontId="10" fillId="0" borderId="3" xfId="1" applyFont="1" applyBorder="1" applyAlignment="1">
      <alignment horizontal="left" vertical="center"/>
    </xf>
    <xf numFmtId="0" fontId="10" fillId="0" borderId="4" xfId="1" applyFont="1" applyBorder="1" applyAlignment="1">
      <alignment horizontal="left" vertical="center"/>
    </xf>
  </cellXfs>
  <cellStyles count="9">
    <cellStyle name="Comma 2" xfId="4" xr:uid="{45660E4A-CD5C-4BC0-9E4D-21C7C6019809}"/>
    <cellStyle name="Comma 3" xfId="5" xr:uid="{E6042C1F-4527-4725-BC10-8A0940E07F7D}"/>
    <cellStyle name="Comma 4" xfId="6" xr:uid="{20F4007D-8B53-4155-840B-CB8FF78A75DD}"/>
    <cellStyle name="Comma 5" xfId="7" xr:uid="{5C79F466-19E8-4A81-B9EB-29252482D553}"/>
    <cellStyle name="Comma 6" xfId="8" xr:uid="{F5D0EDE8-661B-4420-9703-F084D8FD398E}"/>
    <cellStyle name="Normal" xfId="0" builtinId="0"/>
    <cellStyle name="Normal 2" xfId="2" xr:uid="{DEF01A8C-4C1D-4E8B-97D7-D6AC1F95CF63}"/>
    <cellStyle name="Normal 2 2" xfId="3" xr:uid="{360BBE18-A419-4A95-9625-B6D3F5E46CAE}"/>
    <cellStyle name="Normal 2 7" xfId="1" xr:uid="{B6596520-9381-4B39-A1BD-A227ACC974C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A983EB-D487-4A41-A8D3-4A7CF88CB648}">
  <sheetPr>
    <tabColor theme="5"/>
    <pageSetUpPr fitToPage="1"/>
  </sheetPr>
  <dimension ref="A1:AE35"/>
  <sheetViews>
    <sheetView view="pageBreakPreview" topLeftCell="B1" zoomScale="40" zoomScaleNormal="55" zoomScaleSheetLayoutView="40" workbookViewId="0">
      <pane ySplit="3" topLeftCell="A4" activePane="bottomLeft" state="frozen"/>
      <selection activeCell="D7" sqref="D7"/>
      <selection pane="bottomLeft" activeCell="H9" sqref="H9"/>
    </sheetView>
  </sheetViews>
  <sheetFormatPr defaultColWidth="9.140625" defaultRowHeight="15" x14ac:dyDescent="0.25"/>
  <cols>
    <col min="1" max="1" width="17" style="30" hidden="1" customWidth="1"/>
    <col min="2" max="2" width="14.5703125" style="30" customWidth="1"/>
    <col min="3" max="3" width="57.28515625" style="30" bestFit="1" customWidth="1"/>
    <col min="4" max="4" width="109.42578125" style="30" customWidth="1"/>
    <col min="5" max="5" width="60.5703125" style="30" customWidth="1"/>
    <col min="6" max="9" width="30.140625" style="30" customWidth="1"/>
    <col min="10" max="10" width="86.28515625" style="30" customWidth="1"/>
    <col min="11" max="11" width="72.5703125" style="30" customWidth="1"/>
    <col min="12" max="12" width="20.5703125" style="30" customWidth="1"/>
    <col min="13" max="13" width="21.28515625" style="30" customWidth="1"/>
    <col min="14" max="14" width="21.5703125" style="30" customWidth="1"/>
    <col min="15" max="16" width="20.28515625" style="30" customWidth="1"/>
    <col min="17" max="17" width="36" style="30" customWidth="1"/>
    <col min="18" max="18" width="27.85546875" style="30" customWidth="1"/>
    <col min="19" max="19" width="33" style="30" customWidth="1"/>
    <col min="20" max="20" width="21.42578125" style="30" customWidth="1"/>
    <col min="21" max="21" width="9.140625" style="30" hidden="1" customWidth="1"/>
    <col min="22" max="16384" width="9.140625" style="30"/>
  </cols>
  <sheetData>
    <row r="1" spans="1:21" s="4" customFormat="1" ht="94.5" customHeight="1" thickBot="1" x14ac:dyDescent="0.5">
      <c r="A1" s="1"/>
      <c r="B1" s="58" t="s">
        <v>0</v>
      </c>
      <c r="C1" s="58"/>
      <c r="D1" s="58"/>
      <c r="E1" s="59" t="s">
        <v>1</v>
      </c>
      <c r="F1" s="59"/>
      <c r="G1" s="59"/>
      <c r="H1" s="59"/>
      <c r="I1" s="59"/>
      <c r="J1" s="59"/>
      <c r="K1" s="59"/>
      <c r="L1" s="59"/>
      <c r="M1" s="60" t="s">
        <v>2</v>
      </c>
      <c r="N1" s="60"/>
      <c r="O1" s="60"/>
      <c r="P1" s="60"/>
      <c r="Q1" s="61" t="s">
        <v>3</v>
      </c>
      <c r="R1" s="61"/>
      <c r="S1" s="62" t="s">
        <v>4</v>
      </c>
      <c r="T1" s="62"/>
      <c r="U1" s="3"/>
    </row>
    <row r="2" spans="1:21" s="9" customFormat="1" ht="97.5" customHeight="1" thickBot="1" x14ac:dyDescent="0.3">
      <c r="A2" s="5"/>
      <c r="B2" s="63" t="s">
        <v>5</v>
      </c>
      <c r="C2" s="63"/>
      <c r="D2" s="64" t="s">
        <v>128</v>
      </c>
      <c r="E2" s="65"/>
      <c r="F2" s="60" t="s">
        <v>6</v>
      </c>
      <c r="G2" s="60"/>
      <c r="H2" s="60"/>
      <c r="I2" s="60"/>
      <c r="J2" s="6" t="s">
        <v>7</v>
      </c>
      <c r="K2" s="2" t="s">
        <v>8</v>
      </c>
      <c r="L2" s="6"/>
      <c r="M2" s="6" t="s">
        <v>9</v>
      </c>
      <c r="N2" s="6"/>
      <c r="O2" s="66" t="s">
        <v>129</v>
      </c>
      <c r="P2" s="66"/>
      <c r="Q2" s="7" t="s">
        <v>10</v>
      </c>
      <c r="R2" s="63"/>
      <c r="S2" s="63"/>
      <c r="T2" s="63"/>
      <c r="U2" s="8"/>
    </row>
    <row r="3" spans="1:21" s="26" customFormat="1" ht="84" customHeight="1" thickBot="1" x14ac:dyDescent="0.3">
      <c r="A3" s="23" t="s">
        <v>11</v>
      </c>
      <c r="B3" s="25" t="s">
        <v>12</v>
      </c>
      <c r="C3" s="25" t="s">
        <v>13</v>
      </c>
      <c r="D3" s="25" t="s">
        <v>14</v>
      </c>
      <c r="E3" s="25" t="s">
        <v>15</v>
      </c>
      <c r="F3" s="25" t="s">
        <v>16</v>
      </c>
      <c r="G3" s="25" t="s">
        <v>17</v>
      </c>
      <c r="H3" s="25" t="s">
        <v>18</v>
      </c>
      <c r="I3" s="25" t="s">
        <v>19</v>
      </c>
      <c r="J3" s="25" t="s">
        <v>20</v>
      </c>
      <c r="K3" s="25" t="s">
        <v>21</v>
      </c>
      <c r="L3" s="25" t="s">
        <v>22</v>
      </c>
      <c r="M3" s="25" t="s">
        <v>23</v>
      </c>
      <c r="N3" s="25" t="s">
        <v>24</v>
      </c>
      <c r="O3" s="25" t="s">
        <v>25</v>
      </c>
      <c r="P3" s="25" t="s">
        <v>26</v>
      </c>
      <c r="Q3" s="25" t="s">
        <v>27</v>
      </c>
      <c r="R3" s="25" t="s">
        <v>28</v>
      </c>
      <c r="S3" s="25" t="s">
        <v>29</v>
      </c>
      <c r="T3" s="25" t="s">
        <v>30</v>
      </c>
      <c r="U3" s="25"/>
    </row>
    <row r="4" spans="1:21" s="26" customFormat="1" ht="66.75" customHeight="1" x14ac:dyDescent="0.25">
      <c r="A4" s="27"/>
      <c r="B4" s="10">
        <v>1</v>
      </c>
      <c r="C4" s="11" t="s">
        <v>126</v>
      </c>
      <c r="D4" s="11" t="s">
        <v>127</v>
      </c>
      <c r="E4" s="10" t="s">
        <v>73</v>
      </c>
      <c r="F4" s="11">
        <v>748</v>
      </c>
      <c r="G4" s="11">
        <v>4</v>
      </c>
      <c r="H4" s="11">
        <v>187</v>
      </c>
      <c r="I4" s="11" t="s">
        <v>74</v>
      </c>
      <c r="J4" s="12" t="str">
        <f t="shared" ref="J4:J16" si="0">+CONCATENATE(D4,"&amp;VISUAL")</f>
        <v>Upright G50 1.2 L5995 OB&amp;VISUAL</v>
      </c>
      <c r="K4" s="25"/>
      <c r="L4" s="25"/>
      <c r="M4" s="25"/>
      <c r="N4" s="25"/>
      <c r="O4" s="25"/>
      <c r="P4" s="25"/>
      <c r="Q4" s="25"/>
      <c r="R4" s="25"/>
      <c r="S4" s="25"/>
      <c r="T4" s="25"/>
      <c r="U4" s="28"/>
    </row>
    <row r="5" spans="1:21" s="26" customFormat="1" ht="66.75" customHeight="1" x14ac:dyDescent="0.25">
      <c r="A5" s="27"/>
      <c r="B5" s="10">
        <v>2</v>
      </c>
      <c r="C5" s="11" t="s">
        <v>126</v>
      </c>
      <c r="D5" s="11" t="s">
        <v>127</v>
      </c>
      <c r="E5" s="10" t="s">
        <v>73</v>
      </c>
      <c r="F5" s="11">
        <v>2</v>
      </c>
      <c r="G5" s="11">
        <v>2</v>
      </c>
      <c r="H5" s="11">
        <v>1</v>
      </c>
      <c r="I5" s="11" t="s">
        <v>75</v>
      </c>
      <c r="J5" s="12" t="str">
        <f t="shared" si="0"/>
        <v>Upright G50 1.2 L5995 OB&amp;VISUAL</v>
      </c>
      <c r="K5" s="25"/>
      <c r="L5" s="25"/>
      <c r="M5" s="25"/>
      <c r="N5" s="25"/>
      <c r="O5" s="25"/>
      <c r="P5" s="25"/>
      <c r="Q5" s="25"/>
      <c r="R5" s="25"/>
      <c r="S5" s="25"/>
      <c r="T5" s="25"/>
      <c r="U5" s="28"/>
    </row>
    <row r="6" spans="1:21" s="26" customFormat="1" ht="66.75" customHeight="1" x14ac:dyDescent="0.25">
      <c r="A6" s="27"/>
      <c r="B6" s="10">
        <v>3</v>
      </c>
      <c r="C6" s="11" t="s">
        <v>83</v>
      </c>
      <c r="D6" s="11" t="s">
        <v>84</v>
      </c>
      <c r="E6" s="10" t="s">
        <v>85</v>
      </c>
      <c r="F6" s="11">
        <v>1500</v>
      </c>
      <c r="G6" s="11">
        <v>500</v>
      </c>
      <c r="H6" s="11">
        <v>3</v>
      </c>
      <c r="I6" s="11" t="s">
        <v>130</v>
      </c>
      <c r="J6" s="12" t="str">
        <f t="shared" si="0"/>
        <v>BASEPLATE G50  SF GA&amp;VISUAL</v>
      </c>
      <c r="K6" s="25"/>
      <c r="L6" s="25"/>
      <c r="M6" s="25"/>
      <c r="N6" s="25"/>
      <c r="O6" s="25"/>
      <c r="P6" s="25"/>
      <c r="Q6" s="25"/>
      <c r="R6" s="25"/>
      <c r="S6" s="25"/>
      <c r="T6" s="25"/>
      <c r="U6" s="28"/>
    </row>
    <row r="7" spans="1:21" s="26" customFormat="1" ht="66.75" customHeight="1" x14ac:dyDescent="0.25">
      <c r="A7" s="27"/>
      <c r="B7" s="10">
        <v>4</v>
      </c>
      <c r="C7" s="11" t="s">
        <v>31</v>
      </c>
      <c r="D7" s="11" t="s">
        <v>32</v>
      </c>
      <c r="E7" s="10" t="s">
        <v>76</v>
      </c>
      <c r="F7" s="11">
        <v>500</v>
      </c>
      <c r="G7" s="11">
        <v>5</v>
      </c>
      <c r="H7" s="11">
        <v>100</v>
      </c>
      <c r="I7" s="11" t="s">
        <v>131</v>
      </c>
      <c r="J7" s="12" t="str">
        <f t="shared" si="0"/>
        <v>SHELF PNL D600 W1000 1 GA&amp;VISUAL</v>
      </c>
      <c r="K7" s="25"/>
      <c r="L7" s="25"/>
      <c r="M7" s="25"/>
      <c r="N7" s="25"/>
      <c r="O7" s="25"/>
      <c r="P7" s="25"/>
      <c r="Q7" s="25"/>
      <c r="R7" s="25"/>
      <c r="S7" s="25"/>
      <c r="T7" s="25"/>
      <c r="U7" s="28"/>
    </row>
    <row r="8" spans="1:21" s="26" customFormat="1" ht="66.75" customHeight="1" x14ac:dyDescent="0.25">
      <c r="A8" s="27"/>
      <c r="B8" s="10">
        <v>5</v>
      </c>
      <c r="C8" s="11" t="s">
        <v>86</v>
      </c>
      <c r="D8" s="11" t="s">
        <v>87</v>
      </c>
      <c r="E8" s="10" t="s">
        <v>88</v>
      </c>
      <c r="F8" s="11">
        <v>2000</v>
      </c>
      <c r="G8" s="11">
        <v>10</v>
      </c>
      <c r="H8" s="11">
        <v>200</v>
      </c>
      <c r="I8" s="11" t="s">
        <v>132</v>
      </c>
      <c r="J8" s="12" t="str">
        <f t="shared" si="0"/>
        <v>Bracing G50 B600 1.2 GA&amp;VISUAL</v>
      </c>
      <c r="K8" s="25"/>
      <c r="L8" s="25"/>
      <c r="M8" s="25"/>
      <c r="N8" s="25"/>
      <c r="O8" s="25"/>
      <c r="P8" s="25"/>
      <c r="Q8" s="25"/>
      <c r="R8" s="25"/>
      <c r="S8" s="25"/>
      <c r="T8" s="25"/>
      <c r="U8" s="28"/>
    </row>
    <row r="9" spans="1:21" s="26" customFormat="1" ht="66.75" customHeight="1" x14ac:dyDescent="0.25">
      <c r="A9" s="27"/>
      <c r="B9" s="10">
        <v>6</v>
      </c>
      <c r="C9" s="11" t="s">
        <v>89</v>
      </c>
      <c r="D9" s="11" t="s">
        <v>90</v>
      </c>
      <c r="E9" s="10" t="s">
        <v>91</v>
      </c>
      <c r="F9" s="11">
        <v>30800</v>
      </c>
      <c r="G9" s="11">
        <v>700</v>
      </c>
      <c r="H9" s="11">
        <v>44</v>
      </c>
      <c r="I9" s="11" t="s">
        <v>133</v>
      </c>
      <c r="J9" s="12" t="str">
        <f t="shared" si="0"/>
        <v>Shelf clip G50 2.3 L69 GA&amp;VISUAL</v>
      </c>
      <c r="K9" s="25"/>
      <c r="L9" s="25"/>
      <c r="M9" s="25"/>
      <c r="N9" s="25"/>
      <c r="O9" s="25"/>
      <c r="P9" s="25"/>
      <c r="Q9" s="25"/>
      <c r="R9" s="25"/>
      <c r="S9" s="25"/>
      <c r="T9" s="25"/>
      <c r="U9" s="28"/>
    </row>
    <row r="10" spans="1:21" s="26" customFormat="1" ht="66.75" customHeight="1" x14ac:dyDescent="0.25">
      <c r="A10" s="27"/>
      <c r="B10" s="10">
        <v>7</v>
      </c>
      <c r="C10" s="11" t="s">
        <v>77</v>
      </c>
      <c r="D10" s="11" t="s">
        <v>78</v>
      </c>
      <c r="E10" s="10" t="s">
        <v>79</v>
      </c>
      <c r="F10" s="11">
        <v>13000</v>
      </c>
      <c r="G10" s="11">
        <v>50</v>
      </c>
      <c r="H10" s="11">
        <v>260</v>
      </c>
      <c r="I10" s="11" t="s">
        <v>134</v>
      </c>
      <c r="J10" s="12" t="str">
        <f t="shared" si="0"/>
        <v>Shelf stiffener A995 0.7 GA&amp;VISUAL</v>
      </c>
      <c r="K10" s="25"/>
      <c r="L10" s="25"/>
      <c r="M10" s="25"/>
      <c r="N10" s="25"/>
      <c r="O10" s="25"/>
      <c r="P10" s="25"/>
      <c r="Q10" s="25"/>
      <c r="R10" s="25"/>
      <c r="S10" s="25"/>
      <c r="T10" s="25"/>
      <c r="U10" s="28"/>
    </row>
    <row r="11" spans="1:21" s="26" customFormat="1" ht="66.75" customHeight="1" x14ac:dyDescent="0.25">
      <c r="A11" s="27"/>
      <c r="B11" s="10">
        <v>8</v>
      </c>
      <c r="C11" s="11" t="s">
        <v>80</v>
      </c>
      <c r="D11" s="11" t="s">
        <v>81</v>
      </c>
      <c r="E11" s="10" t="s">
        <v>82</v>
      </c>
      <c r="F11" s="11">
        <v>300</v>
      </c>
      <c r="G11" s="11">
        <v>100</v>
      </c>
      <c r="H11" s="11">
        <v>3</v>
      </c>
      <c r="I11" s="11" t="s">
        <v>135</v>
      </c>
      <c r="J11" s="12" t="str">
        <f t="shared" si="0"/>
        <v>Back tie rod L1 L2115 GA&amp;VISUAL</v>
      </c>
      <c r="K11" s="25"/>
      <c r="L11" s="25"/>
      <c r="M11" s="25"/>
      <c r="N11" s="25"/>
      <c r="O11" s="25"/>
      <c r="P11" s="25"/>
      <c r="Q11" s="25"/>
      <c r="R11" s="25"/>
      <c r="S11" s="25"/>
      <c r="T11" s="25"/>
      <c r="U11" s="28"/>
    </row>
    <row r="12" spans="1:21" s="26" customFormat="1" ht="66.75" customHeight="1" x14ac:dyDescent="0.25">
      <c r="A12" s="27"/>
      <c r="B12" s="10">
        <v>9</v>
      </c>
      <c r="C12" s="11" t="s">
        <v>80</v>
      </c>
      <c r="D12" s="11" t="s">
        <v>81</v>
      </c>
      <c r="E12" s="10" t="s">
        <v>82</v>
      </c>
      <c r="F12" s="11">
        <v>80</v>
      </c>
      <c r="G12" s="11">
        <v>80</v>
      </c>
      <c r="H12" s="11">
        <v>1</v>
      </c>
      <c r="I12" s="11" t="s">
        <v>136</v>
      </c>
      <c r="J12" s="12" t="str">
        <f t="shared" si="0"/>
        <v>Back tie rod L1 L2115 GA&amp;VISUAL</v>
      </c>
      <c r="K12" s="25"/>
      <c r="L12" s="25"/>
      <c r="M12" s="25"/>
      <c r="N12" s="25"/>
      <c r="O12" s="25"/>
      <c r="P12" s="25"/>
      <c r="Q12" s="25"/>
      <c r="R12" s="25"/>
      <c r="S12" s="25"/>
      <c r="T12" s="25"/>
      <c r="U12" s="28"/>
    </row>
    <row r="13" spans="1:21" s="26" customFormat="1" ht="66.75" customHeight="1" x14ac:dyDescent="0.25">
      <c r="A13" s="27"/>
      <c r="B13" s="10">
        <v>10</v>
      </c>
      <c r="C13" s="11" t="s">
        <v>92</v>
      </c>
      <c r="D13" s="11" t="s">
        <v>93</v>
      </c>
      <c r="E13" s="10" t="s">
        <v>94</v>
      </c>
      <c r="F13" s="11">
        <v>380</v>
      </c>
      <c r="G13" s="11">
        <v>380</v>
      </c>
      <c r="H13" s="11">
        <v>1</v>
      </c>
      <c r="I13" s="11" t="s">
        <v>137</v>
      </c>
      <c r="J13" s="12" t="str">
        <f t="shared" si="0"/>
        <v>Back tie rod cleat G50 LH GA&amp;VISUAL</v>
      </c>
      <c r="K13" s="25"/>
      <c r="L13" s="25"/>
      <c r="M13" s="25"/>
      <c r="N13" s="25"/>
      <c r="O13" s="25"/>
      <c r="P13" s="25"/>
      <c r="Q13" s="25"/>
      <c r="R13" s="25"/>
      <c r="S13" s="25"/>
      <c r="T13" s="25"/>
      <c r="U13" s="28"/>
    </row>
    <row r="14" spans="1:21" s="26" customFormat="1" ht="66.75" customHeight="1" x14ac:dyDescent="0.25">
      <c r="A14" s="27"/>
      <c r="B14" s="10">
        <v>11</v>
      </c>
      <c r="C14" s="11" t="s">
        <v>95</v>
      </c>
      <c r="D14" s="11" t="s">
        <v>96</v>
      </c>
      <c r="E14" s="10" t="s">
        <v>94</v>
      </c>
      <c r="F14" s="11">
        <v>380</v>
      </c>
      <c r="G14" s="11">
        <v>380</v>
      </c>
      <c r="H14" s="11">
        <v>1</v>
      </c>
      <c r="I14" s="11" t="s">
        <v>138</v>
      </c>
      <c r="J14" s="12" t="str">
        <f t="shared" si="0"/>
        <v>Back tie rod cleat G50 RH GA&amp;VISUAL</v>
      </c>
      <c r="K14" s="25"/>
      <c r="L14" s="25"/>
      <c r="M14" s="25"/>
      <c r="N14" s="25"/>
      <c r="O14" s="25"/>
      <c r="P14" s="25"/>
      <c r="Q14" s="25"/>
      <c r="R14" s="25"/>
      <c r="S14" s="25"/>
      <c r="T14" s="25"/>
      <c r="U14" s="28"/>
    </row>
    <row r="15" spans="1:21" s="26" customFormat="1" ht="66.75" customHeight="1" x14ac:dyDescent="0.25">
      <c r="A15" s="27"/>
      <c r="B15" s="10">
        <v>12</v>
      </c>
      <c r="C15" s="11" t="s">
        <v>97</v>
      </c>
      <c r="D15" s="11" t="s">
        <v>98</v>
      </c>
      <c r="E15" s="10" t="s">
        <v>99</v>
      </c>
      <c r="F15" s="11">
        <v>380</v>
      </c>
      <c r="G15" s="11">
        <v>380</v>
      </c>
      <c r="H15" s="11">
        <v>1</v>
      </c>
      <c r="I15" s="11" t="s">
        <v>100</v>
      </c>
      <c r="J15" s="12" t="str">
        <f t="shared" si="0"/>
        <v>Turnbuckle E&amp;H M6 90mm Zinc&amp;VISUAL</v>
      </c>
      <c r="K15" s="25"/>
      <c r="L15" s="25"/>
      <c r="M15" s="25"/>
      <c r="N15" s="25"/>
      <c r="O15" s="25"/>
      <c r="P15" s="25"/>
      <c r="Q15" s="25"/>
      <c r="R15" s="25"/>
      <c r="S15" s="25"/>
      <c r="T15" s="25"/>
      <c r="U15" s="28"/>
    </row>
    <row r="16" spans="1:21" s="26" customFormat="1" ht="66.75" customHeight="1" x14ac:dyDescent="0.25">
      <c r="A16" s="27"/>
      <c r="B16" s="10">
        <v>13</v>
      </c>
      <c r="C16" s="11" t="s">
        <v>55</v>
      </c>
      <c r="D16" s="11" t="s">
        <v>56</v>
      </c>
      <c r="E16" s="10" t="s">
        <v>57</v>
      </c>
      <c r="F16" s="11">
        <v>1</v>
      </c>
      <c r="G16" s="11">
        <v>1</v>
      </c>
      <c r="H16" s="11">
        <v>1</v>
      </c>
      <c r="I16" s="11" t="s">
        <v>139</v>
      </c>
      <c r="J16" s="12" t="str">
        <f t="shared" si="0"/>
        <v>IndPnt Acr QD SG Orange&amp;VISUAL</v>
      </c>
      <c r="K16" s="25"/>
      <c r="L16" s="25"/>
      <c r="M16" s="25"/>
      <c r="N16" s="25"/>
      <c r="O16" s="25"/>
      <c r="P16" s="25"/>
      <c r="Q16" s="25"/>
      <c r="R16" s="25"/>
      <c r="S16" s="25"/>
      <c r="T16" s="25"/>
      <c r="U16" s="28"/>
    </row>
    <row r="17" spans="1:31" s="15" customFormat="1" ht="105" customHeight="1" x14ac:dyDescent="0.25">
      <c r="A17" s="13" t="s">
        <v>33</v>
      </c>
      <c r="B17" s="35" t="s">
        <v>34</v>
      </c>
      <c r="C17" s="36"/>
      <c r="D17" s="36"/>
      <c r="E17" s="36"/>
      <c r="F17" s="36">
        <v>1100</v>
      </c>
      <c r="G17" s="36"/>
      <c r="H17" s="36"/>
      <c r="I17" s="36"/>
      <c r="J17" s="32" t="s">
        <v>35</v>
      </c>
      <c r="K17" s="14"/>
      <c r="L17" s="37" t="s">
        <v>36</v>
      </c>
      <c r="M17" s="38"/>
      <c r="N17" s="39"/>
      <c r="O17" s="40"/>
      <c r="P17" s="40"/>
      <c r="Q17" s="40"/>
      <c r="R17" s="41"/>
      <c r="S17" s="42" t="s">
        <v>37</v>
      </c>
      <c r="T17" s="43"/>
      <c r="U17" s="44"/>
    </row>
    <row r="18" spans="1:31" s="15" customFormat="1" ht="69" customHeight="1" x14ac:dyDescent="0.25">
      <c r="A18" s="13" t="s">
        <v>38</v>
      </c>
      <c r="B18" s="45" t="s">
        <v>39</v>
      </c>
      <c r="C18" s="46"/>
      <c r="D18" s="47"/>
      <c r="E18" s="51" t="s">
        <v>40</v>
      </c>
      <c r="F18" s="51"/>
      <c r="G18" s="51"/>
      <c r="H18" s="51"/>
      <c r="I18" s="51"/>
      <c r="J18" s="51"/>
      <c r="K18" s="51"/>
      <c r="L18" s="51"/>
      <c r="M18" s="51"/>
      <c r="N18" s="51"/>
      <c r="O18" s="51"/>
      <c r="P18" s="52"/>
      <c r="Q18" s="16" t="s">
        <v>41</v>
      </c>
      <c r="R18" s="17"/>
      <c r="S18" s="18" t="s">
        <v>42</v>
      </c>
      <c r="T18" s="18" t="s">
        <v>43</v>
      </c>
      <c r="U18" s="19"/>
      <c r="V18" s="15" t="s">
        <v>44</v>
      </c>
    </row>
    <row r="19" spans="1:31" ht="69" customHeight="1" x14ac:dyDescent="0.25">
      <c r="A19" s="13" t="s">
        <v>38</v>
      </c>
      <c r="B19" s="48"/>
      <c r="C19" s="49"/>
      <c r="D19" s="50"/>
      <c r="E19" s="53"/>
      <c r="F19" s="53"/>
      <c r="G19" s="53"/>
      <c r="H19" s="53"/>
      <c r="I19" s="53"/>
      <c r="J19" s="53"/>
      <c r="K19" s="53"/>
      <c r="L19" s="53"/>
      <c r="M19" s="53"/>
      <c r="N19" s="53"/>
      <c r="O19" s="53"/>
      <c r="P19" s="54"/>
      <c r="Q19" s="16" t="s">
        <v>45</v>
      </c>
      <c r="R19" s="17"/>
      <c r="S19" s="55" t="s">
        <v>46</v>
      </c>
      <c r="T19" s="55" t="s">
        <v>47</v>
      </c>
      <c r="U19" s="31"/>
    </row>
    <row r="20" spans="1:31" ht="69" customHeight="1" x14ac:dyDescent="0.25">
      <c r="A20" s="13" t="s">
        <v>48</v>
      </c>
      <c r="B20" s="48"/>
      <c r="C20" s="49"/>
      <c r="D20" s="50"/>
      <c r="E20" s="53"/>
      <c r="F20" s="53"/>
      <c r="G20" s="53"/>
      <c r="H20" s="53"/>
      <c r="I20" s="53"/>
      <c r="J20" s="53"/>
      <c r="K20" s="53"/>
      <c r="L20" s="53"/>
      <c r="M20" s="53"/>
      <c r="N20" s="53"/>
      <c r="O20" s="53"/>
      <c r="P20" s="54"/>
      <c r="Q20" s="16" t="s">
        <v>49</v>
      </c>
      <c r="R20" s="17"/>
      <c r="S20" s="56"/>
      <c r="T20" s="56"/>
      <c r="U20" s="20"/>
      <c r="V20" s="21"/>
      <c r="W20" s="21"/>
      <c r="X20" s="21"/>
      <c r="Y20" s="21"/>
      <c r="Z20" s="21"/>
      <c r="AA20" s="21"/>
      <c r="AB20" s="21"/>
      <c r="AC20" s="21"/>
      <c r="AD20" s="21"/>
      <c r="AE20" s="21"/>
    </row>
    <row r="21" spans="1:31" ht="69" customHeight="1" x14ac:dyDescent="0.25">
      <c r="A21" s="13" t="s">
        <v>48</v>
      </c>
      <c r="B21" s="48"/>
      <c r="C21" s="49"/>
      <c r="D21" s="50"/>
      <c r="E21" s="53"/>
      <c r="F21" s="53"/>
      <c r="G21" s="53"/>
      <c r="H21" s="53"/>
      <c r="I21" s="53"/>
      <c r="J21" s="53"/>
      <c r="K21" s="53"/>
      <c r="L21" s="53"/>
      <c r="M21" s="53"/>
      <c r="N21" s="53"/>
      <c r="O21" s="53"/>
      <c r="P21" s="54"/>
      <c r="Q21" s="22" t="s">
        <v>50</v>
      </c>
      <c r="R21" s="17"/>
      <c r="S21" s="57" t="s">
        <v>51</v>
      </c>
      <c r="T21" s="57" t="s">
        <v>52</v>
      </c>
      <c r="U21" s="31"/>
    </row>
    <row r="22" spans="1:31" ht="69" customHeight="1" x14ac:dyDescent="0.25">
      <c r="A22" s="13" t="s">
        <v>53</v>
      </c>
      <c r="B22" s="48"/>
      <c r="C22" s="49"/>
      <c r="D22" s="50"/>
      <c r="E22" s="53"/>
      <c r="F22" s="53"/>
      <c r="G22" s="53"/>
      <c r="H22" s="53"/>
      <c r="I22" s="53"/>
      <c r="J22" s="53"/>
      <c r="K22" s="53"/>
      <c r="L22" s="53"/>
      <c r="M22" s="53"/>
      <c r="N22" s="53"/>
      <c r="O22" s="53"/>
      <c r="P22" s="54"/>
      <c r="Q22" s="16" t="s">
        <v>54</v>
      </c>
      <c r="R22" s="17"/>
      <c r="S22" s="57"/>
      <c r="T22" s="57"/>
      <c r="U22" s="31"/>
    </row>
    <row r="23" spans="1:31" ht="37.5" customHeight="1" x14ac:dyDescent="0.25">
      <c r="A23"/>
      <c r="B23"/>
      <c r="C23"/>
      <c r="D23"/>
      <c r="E23"/>
      <c r="F23"/>
      <c r="G23"/>
      <c r="H23"/>
      <c r="I23"/>
      <c r="J23"/>
      <c r="K23"/>
      <c r="L23"/>
      <c r="M23"/>
      <c r="N23"/>
      <c r="O23"/>
      <c r="P23"/>
      <c r="Q23"/>
      <c r="R23"/>
      <c r="S23"/>
      <c r="T23"/>
      <c r="U23"/>
      <c r="V23"/>
      <c r="W23"/>
      <c r="X23"/>
      <c r="Y23"/>
      <c r="Z23"/>
      <c r="AA23"/>
      <c r="AB23"/>
      <c r="AC23"/>
      <c r="AD23"/>
      <c r="AE23"/>
    </row>
    <row r="24" spans="1:31" x14ac:dyDescent="0.25">
      <c r="A24"/>
      <c r="B24"/>
      <c r="C24"/>
      <c r="D24"/>
      <c r="E24"/>
      <c r="F24"/>
      <c r="G24"/>
      <c r="H24"/>
      <c r="I24"/>
      <c r="J24"/>
      <c r="K24"/>
      <c r="L24"/>
      <c r="M24"/>
      <c r="N24"/>
      <c r="O24"/>
      <c r="P24"/>
      <c r="Q24"/>
      <c r="R24"/>
      <c r="S24"/>
      <c r="T24"/>
      <c r="U24"/>
      <c r="V24"/>
      <c r="W24"/>
      <c r="X24"/>
      <c r="Y24"/>
      <c r="Z24"/>
      <c r="AA24"/>
      <c r="AB24"/>
      <c r="AC24"/>
      <c r="AD24"/>
      <c r="AE24"/>
    </row>
    <row r="25" spans="1:31" x14ac:dyDescent="0.25">
      <c r="A25"/>
      <c r="B25"/>
      <c r="C25"/>
      <c r="D25"/>
      <c r="E25"/>
      <c r="F25"/>
      <c r="G25"/>
      <c r="H25"/>
      <c r="I25"/>
      <c r="J25"/>
      <c r="K25"/>
      <c r="L25"/>
      <c r="M25"/>
      <c r="N25"/>
      <c r="O25"/>
      <c r="P25"/>
      <c r="Q25"/>
      <c r="R25"/>
      <c r="S25"/>
      <c r="T25"/>
      <c r="U25"/>
      <c r="V25"/>
      <c r="W25"/>
      <c r="X25"/>
      <c r="Y25"/>
      <c r="Z25"/>
      <c r="AA25"/>
      <c r="AB25"/>
      <c r="AC25"/>
      <c r="AD25"/>
      <c r="AE25"/>
    </row>
    <row r="26" spans="1:31" x14ac:dyDescent="0.25">
      <c r="A26"/>
      <c r="B26"/>
      <c r="C26"/>
      <c r="D26"/>
      <c r="E26"/>
      <c r="F26"/>
      <c r="G26"/>
      <c r="H26"/>
      <c r="I26"/>
      <c r="J26"/>
      <c r="K26"/>
      <c r="L26"/>
      <c r="M26"/>
      <c r="N26"/>
      <c r="O26"/>
      <c r="P26"/>
      <c r="Q26"/>
      <c r="R26"/>
      <c r="S26"/>
      <c r="T26"/>
      <c r="U26"/>
      <c r="V26"/>
      <c r="W26"/>
      <c r="X26"/>
      <c r="Y26"/>
      <c r="Z26"/>
      <c r="AA26"/>
      <c r="AB26"/>
      <c r="AC26"/>
      <c r="AD26"/>
      <c r="AE26"/>
    </row>
    <row r="27" spans="1:31" x14ac:dyDescent="0.25">
      <c r="A27"/>
      <c r="B27"/>
      <c r="C27"/>
      <c r="D27"/>
      <c r="E27"/>
      <c r="F27"/>
      <c r="G27"/>
      <c r="H27"/>
      <c r="I27"/>
      <c r="J27"/>
      <c r="K27"/>
      <c r="L27"/>
      <c r="M27"/>
      <c r="N27"/>
      <c r="O27"/>
      <c r="P27"/>
      <c r="Q27"/>
      <c r="R27"/>
      <c r="S27"/>
      <c r="T27"/>
      <c r="U27"/>
      <c r="V27"/>
      <c r="W27"/>
      <c r="X27"/>
      <c r="Y27"/>
      <c r="Z27"/>
      <c r="AA27"/>
      <c r="AB27"/>
      <c r="AC27"/>
      <c r="AD27"/>
      <c r="AE27"/>
    </row>
    <row r="28" spans="1:31" ht="15.75" thickBot="1" x14ac:dyDescent="0.3">
      <c r="A28"/>
      <c r="B28"/>
      <c r="C28"/>
      <c r="D28"/>
      <c r="E28"/>
      <c r="F28"/>
      <c r="G28"/>
      <c r="H28"/>
      <c r="I28"/>
      <c r="J28"/>
      <c r="K28"/>
      <c r="L28"/>
      <c r="M28"/>
      <c r="N28"/>
      <c r="O28"/>
      <c r="P28"/>
      <c r="Q28"/>
      <c r="R28"/>
      <c r="S28"/>
      <c r="T28"/>
      <c r="U28"/>
      <c r="V28"/>
      <c r="W28"/>
      <c r="X28"/>
      <c r="Y28"/>
      <c r="Z28"/>
      <c r="AA28"/>
      <c r="AB28"/>
      <c r="AC28"/>
      <c r="AD28"/>
      <c r="AE28"/>
    </row>
    <row r="29" spans="1:31" ht="28.5" thickBot="1" x14ac:dyDescent="0.3">
      <c r="A29" s="23"/>
      <c r="B29"/>
      <c r="C29"/>
      <c r="D29"/>
      <c r="E29"/>
      <c r="F29"/>
      <c r="G29"/>
      <c r="H29"/>
      <c r="I29"/>
      <c r="J29"/>
      <c r="K29"/>
      <c r="L29"/>
      <c r="M29"/>
    </row>
    <row r="30" spans="1:31" ht="28.5" thickBot="1" x14ac:dyDescent="0.3">
      <c r="A30" s="23"/>
      <c r="B30"/>
      <c r="C30"/>
      <c r="D30"/>
      <c r="E30"/>
      <c r="F30"/>
      <c r="G30"/>
      <c r="H30"/>
      <c r="I30"/>
      <c r="J30"/>
      <c r="K30"/>
      <c r="L30"/>
      <c r="M30"/>
    </row>
    <row r="31" spans="1:31" ht="28.5" thickBot="1" x14ac:dyDescent="0.3">
      <c r="A31" s="23"/>
      <c r="B31"/>
      <c r="C31"/>
      <c r="D31"/>
      <c r="E31"/>
      <c r="F31"/>
      <c r="G31"/>
      <c r="H31"/>
      <c r="I31"/>
      <c r="J31"/>
      <c r="K31"/>
      <c r="L31"/>
      <c r="M31"/>
    </row>
    <row r="32" spans="1:31" ht="28.5" thickBot="1" x14ac:dyDescent="0.3">
      <c r="A32" s="23"/>
      <c r="B32"/>
      <c r="C32"/>
      <c r="D32"/>
      <c r="E32"/>
      <c r="F32"/>
      <c r="G32"/>
      <c r="H32"/>
      <c r="I32"/>
      <c r="J32"/>
      <c r="K32"/>
      <c r="L32"/>
      <c r="M32"/>
    </row>
    <row r="33" spans="1:13" ht="28.5" thickBot="1" x14ac:dyDescent="0.3">
      <c r="A33" s="23"/>
      <c r="B33"/>
      <c r="C33"/>
      <c r="D33"/>
      <c r="E33"/>
      <c r="F33"/>
      <c r="G33"/>
      <c r="H33"/>
      <c r="I33"/>
      <c r="J33"/>
      <c r="K33"/>
      <c r="L33"/>
      <c r="M33"/>
    </row>
    <row r="34" spans="1:13" ht="30" x14ac:dyDescent="0.25">
      <c r="A34" s="24"/>
      <c r="B34"/>
      <c r="C34"/>
      <c r="D34"/>
      <c r="E34"/>
      <c r="F34"/>
      <c r="G34"/>
      <c r="H34"/>
      <c r="I34"/>
      <c r="J34"/>
      <c r="K34"/>
      <c r="L34"/>
      <c r="M34"/>
    </row>
    <row r="35" spans="1:13" ht="30" x14ac:dyDescent="0.25">
      <c r="A35" s="24"/>
      <c r="B35"/>
      <c r="C35"/>
      <c r="D35"/>
      <c r="E35"/>
      <c r="F35"/>
      <c r="G35"/>
      <c r="H35"/>
      <c r="I35"/>
      <c r="J35"/>
      <c r="K35"/>
      <c r="L35"/>
      <c r="M35"/>
    </row>
  </sheetData>
  <autoFilter ref="A3:T27" xr:uid="{00000000-0009-0000-0000-000005000000}"/>
  <mergeCells count="20">
    <mergeCell ref="B2:C2"/>
    <mergeCell ref="D2:E2"/>
    <mergeCell ref="F2:I2"/>
    <mergeCell ref="O2:P2"/>
    <mergeCell ref="R2:T2"/>
    <mergeCell ref="B1:D1"/>
    <mergeCell ref="E1:L1"/>
    <mergeCell ref="M1:P1"/>
    <mergeCell ref="Q1:R1"/>
    <mergeCell ref="S1:T1"/>
    <mergeCell ref="B17:I17"/>
    <mergeCell ref="L17:M17"/>
    <mergeCell ref="N17:R17"/>
    <mergeCell ref="S17:U17"/>
    <mergeCell ref="B18:D22"/>
    <mergeCell ref="E18:P22"/>
    <mergeCell ref="S19:S20"/>
    <mergeCell ref="T19:T20"/>
    <mergeCell ref="S21:S22"/>
    <mergeCell ref="T21:T22"/>
  </mergeCells>
  <pageMargins left="0" right="0" top="0.51181102362204722" bottom="0" header="0.19685039370078741" footer="0.19685039370078741"/>
  <pageSetup paperSize="9" scale="19" fitToHeight="0" orientation="landscape" r:id="rId1"/>
  <headerFooter>
    <oddHeader>&amp;C&amp;"Calibri"&amp;10&amp;K000000 Internal&amp;1#_x000D_</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7FE572-D78B-4B76-BDF4-DD21AA4644D5}">
  <sheetPr codeName="Sheet49">
    <tabColor theme="5"/>
    <pageSetUpPr fitToPage="1"/>
  </sheetPr>
  <dimension ref="A1:AE25"/>
  <sheetViews>
    <sheetView tabSelected="1" view="pageBreakPreview" topLeftCell="B1" zoomScale="40" zoomScaleNormal="55" zoomScaleSheetLayoutView="40" workbookViewId="0">
      <pane ySplit="3" topLeftCell="A4" activePane="bottomLeft" state="frozen"/>
      <selection activeCell="D6" sqref="D6"/>
      <selection pane="bottomLeft" activeCell="F5" sqref="F5"/>
    </sheetView>
  </sheetViews>
  <sheetFormatPr defaultColWidth="9.140625" defaultRowHeight="15" x14ac:dyDescent="0.25"/>
  <cols>
    <col min="1" max="1" width="17" style="30" hidden="1" customWidth="1"/>
    <col min="2" max="2" width="14.5703125" style="30" customWidth="1"/>
    <col min="3" max="3" width="57.28515625" style="30" bestFit="1" customWidth="1"/>
    <col min="4" max="4" width="109.42578125" style="30" customWidth="1"/>
    <col min="5" max="5" width="60.5703125" style="30" bestFit="1" customWidth="1"/>
    <col min="6" max="6" width="30.140625" style="30" bestFit="1" customWidth="1"/>
    <col min="7" max="7" width="33.42578125" style="30" customWidth="1"/>
    <col min="8" max="9" width="30.140625" style="30" customWidth="1"/>
    <col min="10" max="10" width="86.28515625" style="30" customWidth="1"/>
    <col min="11" max="11" width="72.5703125" style="30" customWidth="1"/>
    <col min="12" max="12" width="20.5703125" style="30" customWidth="1"/>
    <col min="13" max="13" width="21.28515625" style="30" customWidth="1"/>
    <col min="14" max="14" width="21.5703125" style="30" customWidth="1"/>
    <col min="15" max="16" width="20.28515625" style="30" customWidth="1"/>
    <col min="17" max="17" width="36" style="30" customWidth="1"/>
    <col min="18" max="18" width="27.85546875" style="30" customWidth="1"/>
    <col min="19" max="19" width="33" style="30" customWidth="1"/>
    <col min="20" max="20" width="21.42578125" style="30" customWidth="1"/>
    <col min="21" max="21" width="9.140625" style="30" hidden="1" customWidth="1"/>
    <col min="22" max="16384" width="9.140625" style="30"/>
  </cols>
  <sheetData>
    <row r="1" spans="1:31" s="4" customFormat="1" ht="94.5" customHeight="1" thickBot="1" x14ac:dyDescent="0.5">
      <c r="A1" s="1"/>
      <c r="B1" s="58" t="s">
        <v>0</v>
      </c>
      <c r="C1" s="58"/>
      <c r="D1" s="58"/>
      <c r="E1" s="59" t="s">
        <v>1</v>
      </c>
      <c r="F1" s="59"/>
      <c r="G1" s="59"/>
      <c r="H1" s="59"/>
      <c r="I1" s="59"/>
      <c r="J1" s="59"/>
      <c r="K1" s="59"/>
      <c r="L1" s="59"/>
      <c r="M1" s="60" t="s">
        <v>2</v>
      </c>
      <c r="N1" s="60"/>
      <c r="O1" s="60"/>
      <c r="P1" s="60"/>
      <c r="Q1" s="61" t="s">
        <v>3</v>
      </c>
      <c r="R1" s="61"/>
      <c r="S1" s="60" t="s">
        <v>4</v>
      </c>
      <c r="T1" s="60"/>
      <c r="U1" s="3"/>
    </row>
    <row r="2" spans="1:31" s="9" customFormat="1" ht="97.5" customHeight="1" thickBot="1" x14ac:dyDescent="0.3">
      <c r="A2" s="5"/>
      <c r="B2" s="63" t="s">
        <v>5</v>
      </c>
      <c r="C2" s="63"/>
      <c r="D2" s="64" t="s">
        <v>58</v>
      </c>
      <c r="E2" s="65"/>
      <c r="F2" s="60" t="s">
        <v>6</v>
      </c>
      <c r="G2" s="60"/>
      <c r="H2" s="60"/>
      <c r="I2" s="60"/>
      <c r="J2" s="6" t="s">
        <v>7</v>
      </c>
      <c r="K2" s="2" t="s">
        <v>8</v>
      </c>
      <c r="L2" s="6"/>
      <c r="M2" s="6" t="s">
        <v>9</v>
      </c>
      <c r="N2" s="6"/>
      <c r="O2" s="66" t="s">
        <v>72</v>
      </c>
      <c r="P2" s="66"/>
      <c r="Q2" s="7" t="s">
        <v>10</v>
      </c>
      <c r="R2" s="63"/>
      <c r="S2" s="63"/>
      <c r="T2" s="63"/>
      <c r="U2" s="8"/>
    </row>
    <row r="3" spans="1:31" s="26" customFormat="1" ht="84" customHeight="1" thickBot="1" x14ac:dyDescent="0.3">
      <c r="A3" s="23" t="s">
        <v>11</v>
      </c>
      <c r="B3" s="25" t="s">
        <v>12</v>
      </c>
      <c r="C3" s="25" t="s">
        <v>13</v>
      </c>
      <c r="D3" s="25" t="s">
        <v>14</v>
      </c>
      <c r="E3" s="25" t="s">
        <v>15</v>
      </c>
      <c r="F3" s="25" t="s">
        <v>59</v>
      </c>
      <c r="G3" s="25" t="s">
        <v>60</v>
      </c>
      <c r="H3" s="25" t="s">
        <v>61</v>
      </c>
      <c r="I3" s="25" t="s">
        <v>19</v>
      </c>
      <c r="J3" s="25" t="s">
        <v>20</v>
      </c>
      <c r="K3" s="25" t="s">
        <v>21</v>
      </c>
      <c r="L3" s="25" t="s">
        <v>22</v>
      </c>
      <c r="M3" s="25" t="s">
        <v>23</v>
      </c>
      <c r="N3" s="25" t="s">
        <v>24</v>
      </c>
      <c r="O3" s="25" t="s">
        <v>25</v>
      </c>
      <c r="P3" s="25" t="s">
        <v>26</v>
      </c>
      <c r="Q3" s="25" t="s">
        <v>27</v>
      </c>
      <c r="R3" s="25" t="s">
        <v>28</v>
      </c>
      <c r="S3" s="25" t="s">
        <v>29</v>
      </c>
      <c r="T3" s="25" t="s">
        <v>30</v>
      </c>
      <c r="U3" s="25"/>
    </row>
    <row r="4" spans="1:31" s="26" customFormat="1" ht="78.75" customHeight="1" x14ac:dyDescent="0.25">
      <c r="A4" s="27"/>
      <c r="B4" s="10">
        <v>1</v>
      </c>
      <c r="C4" s="11" t="s">
        <v>68</v>
      </c>
      <c r="D4" s="11" t="s">
        <v>69</v>
      </c>
      <c r="E4" s="10" t="s">
        <v>62</v>
      </c>
      <c r="F4" s="11">
        <v>256</v>
      </c>
      <c r="G4" s="33">
        <v>64</v>
      </c>
      <c r="H4" s="11">
        <v>4</v>
      </c>
      <c r="I4" s="11" t="s">
        <v>70</v>
      </c>
      <c r="J4" s="12" t="str">
        <f t="shared" ref="J4:J6" si="0">+CONCATENATE(D4,"&amp;VISUAL")</f>
        <v>Upright GXL110AP 1.8 L10700 SW&amp;VISUAL</v>
      </c>
      <c r="K4" s="25"/>
      <c r="L4" s="25"/>
      <c r="M4" s="25"/>
      <c r="N4" s="25"/>
      <c r="O4" s="25"/>
      <c r="P4" s="25"/>
      <c r="Q4" s="25"/>
      <c r="R4" s="25"/>
      <c r="S4" s="25"/>
      <c r="T4" s="25"/>
      <c r="U4" s="28"/>
    </row>
    <row r="5" spans="1:31" s="26" customFormat="1" ht="78.75" customHeight="1" x14ac:dyDescent="0.25">
      <c r="A5" s="27"/>
      <c r="B5" s="10">
        <v>2</v>
      </c>
      <c r="C5" s="11" t="s">
        <v>63</v>
      </c>
      <c r="D5" s="11" t="s">
        <v>64</v>
      </c>
      <c r="E5" s="10" t="s">
        <v>65</v>
      </c>
      <c r="F5" s="11">
        <v>782</v>
      </c>
      <c r="G5" s="67">
        <v>102</v>
      </c>
      <c r="H5" s="69">
        <v>8</v>
      </c>
      <c r="I5" s="69" t="s">
        <v>71</v>
      </c>
      <c r="J5" s="12" t="str">
        <f t="shared" si="0"/>
        <v>Bm HEM+ H85 1.2 L2750 SW&amp;VISUAL</v>
      </c>
      <c r="K5" s="25"/>
      <c r="L5" s="28"/>
      <c r="M5" s="25"/>
      <c r="N5" s="25"/>
      <c r="O5" s="25"/>
      <c r="P5" s="25"/>
      <c r="Q5" s="25"/>
      <c r="R5" s="25"/>
      <c r="S5" s="25"/>
      <c r="T5" s="25"/>
      <c r="U5" s="28"/>
    </row>
    <row r="6" spans="1:31" s="26" customFormat="1" ht="78.75" customHeight="1" x14ac:dyDescent="0.25">
      <c r="A6" s="27"/>
      <c r="B6" s="10">
        <v>3</v>
      </c>
      <c r="C6" s="11" t="s">
        <v>63</v>
      </c>
      <c r="D6" s="11" t="s">
        <v>64</v>
      </c>
      <c r="E6" s="10" t="s">
        <v>65</v>
      </c>
      <c r="F6" s="11">
        <v>34</v>
      </c>
      <c r="G6" s="68"/>
      <c r="H6" s="70"/>
      <c r="I6" s="70"/>
      <c r="J6" s="34" t="str">
        <f t="shared" si="0"/>
        <v>Bm HEM+ H85 1.2 L2750 SW&amp;VISUAL</v>
      </c>
      <c r="K6" s="25"/>
      <c r="L6" s="28"/>
      <c r="M6" s="25"/>
      <c r="N6" s="25"/>
      <c r="O6" s="25"/>
      <c r="P6" s="25"/>
      <c r="Q6" s="25"/>
      <c r="R6" s="25"/>
      <c r="S6" s="25"/>
      <c r="T6" s="25"/>
      <c r="U6" s="28"/>
    </row>
    <row r="7" spans="1:31" s="15" customFormat="1" ht="105" customHeight="1" x14ac:dyDescent="0.25">
      <c r="A7" s="13" t="s">
        <v>33</v>
      </c>
      <c r="B7" s="35" t="s">
        <v>34</v>
      </c>
      <c r="C7" s="36"/>
      <c r="D7" s="36"/>
      <c r="E7" s="36"/>
      <c r="F7" s="36">
        <v>1100</v>
      </c>
      <c r="G7" s="36"/>
      <c r="H7" s="36"/>
      <c r="I7" s="36"/>
      <c r="J7" s="32" t="s">
        <v>35</v>
      </c>
      <c r="K7" s="14"/>
      <c r="L7" s="37" t="s">
        <v>36</v>
      </c>
      <c r="M7" s="38"/>
      <c r="N7" s="39"/>
      <c r="O7" s="40"/>
      <c r="P7" s="40"/>
      <c r="Q7" s="40"/>
      <c r="R7" s="41"/>
      <c r="S7" s="42" t="s">
        <v>37</v>
      </c>
      <c r="T7" s="43"/>
      <c r="U7" s="44"/>
    </row>
    <row r="8" spans="1:31" s="15" customFormat="1" ht="82.5" customHeight="1" x14ac:dyDescent="0.25">
      <c r="A8" s="13" t="s">
        <v>38</v>
      </c>
      <c r="B8" s="45" t="s">
        <v>66</v>
      </c>
      <c r="C8" s="46"/>
      <c r="D8" s="47"/>
      <c r="E8" s="51" t="s">
        <v>67</v>
      </c>
      <c r="F8" s="51"/>
      <c r="G8" s="51"/>
      <c r="H8" s="51"/>
      <c r="I8" s="51"/>
      <c r="J8" s="51"/>
      <c r="K8" s="51"/>
      <c r="L8" s="51"/>
      <c r="M8" s="51"/>
      <c r="N8" s="51"/>
      <c r="O8" s="51"/>
      <c r="P8" s="52"/>
      <c r="Q8" s="16" t="s">
        <v>41</v>
      </c>
      <c r="R8" s="17"/>
      <c r="S8" s="18" t="s">
        <v>42</v>
      </c>
      <c r="T8" s="18" t="s">
        <v>43</v>
      </c>
      <c r="U8" s="19"/>
      <c r="V8" s="15" t="s">
        <v>44</v>
      </c>
    </row>
    <row r="9" spans="1:31" ht="82.5" customHeight="1" x14ac:dyDescent="0.25">
      <c r="A9" s="13" t="s">
        <v>38</v>
      </c>
      <c r="B9" s="48"/>
      <c r="C9" s="49"/>
      <c r="D9" s="50"/>
      <c r="E9" s="53"/>
      <c r="F9" s="53"/>
      <c r="G9" s="53"/>
      <c r="H9" s="53"/>
      <c r="I9" s="53"/>
      <c r="J9" s="53"/>
      <c r="K9" s="53"/>
      <c r="L9" s="53"/>
      <c r="M9" s="53"/>
      <c r="N9" s="53"/>
      <c r="O9" s="53"/>
      <c r="P9" s="54"/>
      <c r="Q9" s="16" t="s">
        <v>45</v>
      </c>
      <c r="R9" s="17"/>
      <c r="S9" s="55" t="s">
        <v>46</v>
      </c>
      <c r="T9" s="55" t="s">
        <v>47</v>
      </c>
      <c r="U9" s="31"/>
    </row>
    <row r="10" spans="1:31" ht="82.5" customHeight="1" x14ac:dyDescent="0.25">
      <c r="A10" s="13" t="s">
        <v>48</v>
      </c>
      <c r="B10" s="48"/>
      <c r="C10" s="49"/>
      <c r="D10" s="50"/>
      <c r="E10" s="53"/>
      <c r="F10" s="53"/>
      <c r="G10" s="53"/>
      <c r="H10" s="53"/>
      <c r="I10" s="53"/>
      <c r="J10" s="53"/>
      <c r="K10" s="53"/>
      <c r="L10" s="53"/>
      <c r="M10" s="53"/>
      <c r="N10" s="53"/>
      <c r="O10" s="53"/>
      <c r="P10" s="54"/>
      <c r="Q10" s="16" t="s">
        <v>49</v>
      </c>
      <c r="R10" s="17"/>
      <c r="S10" s="56"/>
      <c r="T10" s="56"/>
      <c r="U10" s="20"/>
      <c r="V10" s="21"/>
      <c r="W10" s="21"/>
      <c r="X10" s="21"/>
      <c r="Y10" s="21"/>
      <c r="Z10" s="21"/>
      <c r="AA10" s="21"/>
      <c r="AB10" s="21"/>
      <c r="AC10" s="21"/>
      <c r="AD10" s="21"/>
      <c r="AE10" s="21"/>
    </row>
    <row r="11" spans="1:31" ht="82.5" customHeight="1" x14ac:dyDescent="0.25">
      <c r="A11" s="13" t="s">
        <v>48</v>
      </c>
      <c r="B11" s="48"/>
      <c r="C11" s="49"/>
      <c r="D11" s="50"/>
      <c r="E11" s="53"/>
      <c r="F11" s="53"/>
      <c r="G11" s="53"/>
      <c r="H11" s="53"/>
      <c r="I11" s="53"/>
      <c r="J11" s="53"/>
      <c r="K11" s="53"/>
      <c r="L11" s="53"/>
      <c r="M11" s="53"/>
      <c r="N11" s="53"/>
      <c r="O11" s="53"/>
      <c r="P11" s="54"/>
      <c r="Q11" s="22" t="s">
        <v>50</v>
      </c>
      <c r="R11" s="17"/>
      <c r="S11" s="57" t="s">
        <v>51</v>
      </c>
      <c r="T11" s="57" t="s">
        <v>52</v>
      </c>
      <c r="U11" s="31"/>
    </row>
    <row r="12" spans="1:31" ht="82.5" customHeight="1" x14ac:dyDescent="0.25">
      <c r="A12" s="13" t="s">
        <v>53</v>
      </c>
      <c r="B12" s="48"/>
      <c r="C12" s="49"/>
      <c r="D12" s="50"/>
      <c r="E12" s="53"/>
      <c r="F12" s="53"/>
      <c r="G12" s="53"/>
      <c r="H12" s="53"/>
      <c r="I12" s="53"/>
      <c r="J12" s="53"/>
      <c r="K12" s="53"/>
      <c r="L12" s="53"/>
      <c r="M12" s="53"/>
      <c r="N12" s="53"/>
      <c r="O12" s="53"/>
      <c r="P12" s="54"/>
      <c r="Q12" s="16" t="s">
        <v>54</v>
      </c>
      <c r="R12" s="17"/>
      <c r="S12" s="57"/>
      <c r="T12" s="57"/>
      <c r="U12" s="31"/>
    </row>
    <row r="13" spans="1:31" ht="37.5" customHeight="1" x14ac:dyDescent="0.25">
      <c r="A13"/>
      <c r="B13"/>
      <c r="C13"/>
      <c r="D13"/>
      <c r="E13"/>
      <c r="F13"/>
      <c r="G13"/>
      <c r="H13"/>
      <c r="I13"/>
      <c r="J13"/>
      <c r="K13"/>
      <c r="L13"/>
      <c r="M13"/>
      <c r="N13"/>
      <c r="O13"/>
      <c r="P13"/>
      <c r="Q13"/>
      <c r="R13"/>
      <c r="S13"/>
      <c r="T13"/>
      <c r="U13"/>
      <c r="V13"/>
      <c r="W13"/>
      <c r="X13"/>
      <c r="Y13"/>
      <c r="Z13"/>
      <c r="AA13"/>
      <c r="AB13"/>
      <c r="AC13"/>
      <c r="AD13"/>
      <c r="AE13"/>
    </row>
    <row r="14" spans="1:31" x14ac:dyDescent="0.25">
      <c r="A14"/>
      <c r="B14"/>
      <c r="C14"/>
      <c r="D14"/>
      <c r="E14"/>
      <c r="F14"/>
      <c r="G14"/>
      <c r="H14"/>
      <c r="I14"/>
      <c r="J14"/>
      <c r="K14"/>
      <c r="L14"/>
      <c r="M14"/>
      <c r="N14"/>
      <c r="O14"/>
      <c r="P14"/>
      <c r="Q14"/>
      <c r="R14"/>
      <c r="S14"/>
      <c r="T14"/>
      <c r="U14"/>
      <c r="V14"/>
      <c r="W14"/>
      <c r="X14"/>
      <c r="Y14"/>
      <c r="Z14"/>
      <c r="AA14"/>
      <c r="AB14"/>
      <c r="AC14"/>
      <c r="AD14"/>
      <c r="AE14"/>
    </row>
    <row r="15" spans="1:31" x14ac:dyDescent="0.25">
      <c r="A15"/>
      <c r="B15"/>
      <c r="C15"/>
      <c r="D15"/>
      <c r="E15"/>
      <c r="F15"/>
      <c r="G15"/>
      <c r="H15"/>
      <c r="I15"/>
      <c r="J15"/>
      <c r="K15"/>
      <c r="L15"/>
      <c r="M15"/>
      <c r="N15"/>
      <c r="O15"/>
      <c r="P15"/>
      <c r="Q15"/>
      <c r="R15"/>
      <c r="S15"/>
      <c r="T15"/>
      <c r="U15"/>
      <c r="V15"/>
      <c r="W15"/>
      <c r="X15"/>
      <c r="Y15"/>
      <c r="Z15"/>
      <c r="AA15"/>
      <c r="AB15"/>
      <c r="AC15"/>
      <c r="AD15"/>
      <c r="AE15"/>
    </row>
    <row r="16" spans="1:31" x14ac:dyDescent="0.25">
      <c r="A16"/>
      <c r="B16"/>
      <c r="C16"/>
      <c r="D16"/>
      <c r="E16"/>
      <c r="F16"/>
      <c r="G16"/>
      <c r="H16"/>
      <c r="I16"/>
      <c r="J16"/>
      <c r="K16"/>
      <c r="L16"/>
      <c r="M16"/>
      <c r="N16"/>
      <c r="O16"/>
      <c r="P16"/>
      <c r="Q16"/>
      <c r="R16"/>
      <c r="S16"/>
      <c r="T16"/>
      <c r="U16"/>
      <c r="V16"/>
      <c r="W16"/>
      <c r="X16"/>
      <c r="Y16"/>
      <c r="Z16"/>
      <c r="AA16"/>
      <c r="AB16"/>
      <c r="AC16"/>
      <c r="AD16"/>
      <c r="AE16"/>
    </row>
    <row r="17" spans="1:31" x14ac:dyDescent="0.25">
      <c r="A17"/>
      <c r="B17"/>
      <c r="C17"/>
      <c r="D17"/>
      <c r="E17"/>
      <c r="F17"/>
      <c r="G17"/>
      <c r="H17"/>
      <c r="I17"/>
      <c r="J17"/>
      <c r="K17"/>
      <c r="L17"/>
      <c r="M17"/>
      <c r="N17"/>
      <c r="O17"/>
      <c r="P17"/>
      <c r="Q17"/>
      <c r="R17"/>
      <c r="S17"/>
      <c r="T17"/>
      <c r="U17"/>
      <c r="V17"/>
      <c r="W17"/>
      <c r="X17"/>
      <c r="Y17"/>
      <c r="Z17"/>
      <c r="AA17"/>
      <c r="AB17"/>
      <c r="AC17"/>
      <c r="AD17"/>
      <c r="AE17"/>
    </row>
    <row r="18" spans="1:31" ht="15.75" thickBot="1" x14ac:dyDescent="0.3">
      <c r="A18"/>
      <c r="B18"/>
      <c r="C18"/>
      <c r="D18"/>
      <c r="E18"/>
      <c r="F18"/>
      <c r="G18"/>
      <c r="H18"/>
      <c r="I18"/>
      <c r="J18"/>
      <c r="K18"/>
      <c r="L18"/>
      <c r="M18"/>
      <c r="N18"/>
      <c r="O18"/>
      <c r="P18"/>
      <c r="Q18"/>
      <c r="R18"/>
      <c r="S18"/>
      <c r="T18"/>
      <c r="U18"/>
      <c r="V18"/>
      <c r="W18"/>
      <c r="X18"/>
      <c r="Y18"/>
      <c r="Z18"/>
      <c r="AA18"/>
      <c r="AB18"/>
      <c r="AC18"/>
      <c r="AD18"/>
      <c r="AE18"/>
    </row>
    <row r="19" spans="1:31" ht="28.5" thickBot="1" x14ac:dyDescent="0.3">
      <c r="A19" s="23"/>
      <c r="B19"/>
      <c r="C19"/>
      <c r="D19"/>
      <c r="E19"/>
      <c r="F19"/>
      <c r="G19"/>
      <c r="H19"/>
      <c r="I19"/>
      <c r="J19"/>
      <c r="K19"/>
      <c r="L19"/>
      <c r="M19"/>
    </row>
    <row r="20" spans="1:31" ht="28.5" thickBot="1" x14ac:dyDescent="0.3">
      <c r="A20" s="23"/>
      <c r="B20"/>
      <c r="C20"/>
      <c r="D20"/>
      <c r="E20"/>
      <c r="F20"/>
      <c r="G20"/>
      <c r="H20"/>
      <c r="I20"/>
      <c r="J20"/>
      <c r="K20"/>
      <c r="L20"/>
      <c r="M20"/>
    </row>
    <row r="21" spans="1:31" ht="28.5" thickBot="1" x14ac:dyDescent="0.3">
      <c r="A21" s="23"/>
      <c r="B21"/>
      <c r="C21"/>
      <c r="D21"/>
      <c r="E21"/>
      <c r="F21"/>
      <c r="G21"/>
      <c r="H21"/>
      <c r="I21"/>
      <c r="J21"/>
      <c r="K21"/>
      <c r="L21"/>
      <c r="M21"/>
    </row>
    <row r="22" spans="1:31" ht="28.5" thickBot="1" x14ac:dyDescent="0.3">
      <c r="A22" s="23"/>
      <c r="B22"/>
      <c r="C22"/>
      <c r="D22"/>
      <c r="E22"/>
      <c r="F22"/>
      <c r="G22"/>
      <c r="H22"/>
      <c r="I22"/>
      <c r="J22"/>
      <c r="K22"/>
      <c r="L22"/>
      <c r="M22"/>
    </row>
    <row r="23" spans="1:31" ht="28.5" thickBot="1" x14ac:dyDescent="0.3">
      <c r="A23" s="23"/>
      <c r="B23"/>
      <c r="C23"/>
      <c r="D23"/>
      <c r="E23"/>
      <c r="F23"/>
      <c r="G23"/>
      <c r="H23"/>
      <c r="I23"/>
      <c r="J23"/>
      <c r="K23"/>
      <c r="L23"/>
      <c r="M23"/>
    </row>
    <row r="24" spans="1:31" ht="30" x14ac:dyDescent="0.25">
      <c r="A24" s="24"/>
      <c r="B24"/>
      <c r="C24"/>
      <c r="D24"/>
      <c r="E24"/>
      <c r="F24"/>
      <c r="G24"/>
      <c r="H24"/>
      <c r="I24"/>
      <c r="J24"/>
      <c r="K24"/>
      <c r="L24"/>
      <c r="M24"/>
    </row>
    <row r="25" spans="1:31" ht="30" x14ac:dyDescent="0.25">
      <c r="A25" s="24"/>
      <c r="B25"/>
      <c r="C25"/>
      <c r="D25"/>
      <c r="E25"/>
      <c r="F25"/>
      <c r="G25"/>
      <c r="H25"/>
      <c r="I25"/>
      <c r="J25"/>
      <c r="K25"/>
      <c r="L25"/>
      <c r="M25"/>
    </row>
  </sheetData>
  <autoFilter ref="A3:T17" xr:uid="{00000000-0009-0000-0000-000005000000}"/>
  <mergeCells count="23">
    <mergeCell ref="N7:R7"/>
    <mergeCell ref="S7:U7"/>
    <mergeCell ref="B8:D12"/>
    <mergeCell ref="E8:P12"/>
    <mergeCell ref="S9:S10"/>
    <mergeCell ref="T9:T10"/>
    <mergeCell ref="S11:S12"/>
    <mergeCell ref="T11:T12"/>
    <mergeCell ref="B7:I7"/>
    <mergeCell ref="L7:M7"/>
    <mergeCell ref="H5:H6"/>
    <mergeCell ref="G5:G6"/>
    <mergeCell ref="I5:I6"/>
    <mergeCell ref="B1:D1"/>
    <mergeCell ref="E1:L1"/>
    <mergeCell ref="M1:P1"/>
    <mergeCell ref="Q1:R1"/>
    <mergeCell ref="S1:T1"/>
    <mergeCell ref="B2:C2"/>
    <mergeCell ref="D2:E2"/>
    <mergeCell ref="F2:I2"/>
    <mergeCell ref="O2:P2"/>
    <mergeCell ref="R2:T2"/>
  </mergeCells>
  <pageMargins left="0" right="0" top="1" bottom="0" header="0.33" footer="0.19685039370078741"/>
  <pageSetup paperSize="9" scale="19" fitToHeight="0" orientation="landscape" r:id="rId1"/>
  <headerFooter>
    <oddHeader>&amp;C&amp;"Calibri"&amp;10&amp;K000000 Internal&amp;1#_x000D_</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99E559-E844-4AFD-A8F3-19F6EAD92B37}">
  <sheetPr codeName="Sheet47"/>
  <dimension ref="A1"/>
  <sheetViews>
    <sheetView workbookViewId="0"/>
  </sheetViews>
  <sheetFormatPr defaultRowHeight="15" x14ac:dyDescent="0.2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448625-5A84-4CD9-8DD6-610671934D68}">
  <sheetPr codeName="Sheet41">
    <tabColor theme="5"/>
    <pageSetUpPr fitToPage="1"/>
  </sheetPr>
  <dimension ref="A1:AE32"/>
  <sheetViews>
    <sheetView view="pageBreakPreview" zoomScale="40" zoomScaleNormal="55" zoomScaleSheetLayoutView="40" workbookViewId="0">
      <pane ySplit="3" topLeftCell="A4" activePane="bottomLeft" state="frozen"/>
      <selection activeCell="J7" sqref="J7"/>
      <selection pane="bottomLeft"/>
    </sheetView>
  </sheetViews>
  <sheetFormatPr defaultColWidth="9.140625" defaultRowHeight="15" x14ac:dyDescent="0.25"/>
  <cols>
    <col min="1" max="1" width="17" style="30" hidden="1" customWidth="1"/>
    <col min="2" max="2" width="14.5703125" style="30" customWidth="1"/>
    <col min="3" max="3" width="57.28515625" style="30" bestFit="1" customWidth="1"/>
    <col min="4" max="4" width="109.42578125" style="30" customWidth="1"/>
    <col min="5" max="5" width="60.5703125" style="30" bestFit="1" customWidth="1"/>
    <col min="6" max="6" width="30.140625" style="30" bestFit="1" customWidth="1"/>
    <col min="7" max="8" width="30.140625" style="30" customWidth="1"/>
    <col min="9" max="9" width="29" style="30" customWidth="1"/>
    <col min="10" max="10" width="86.28515625" style="30" customWidth="1"/>
    <col min="11" max="11" width="72.5703125" style="30" customWidth="1"/>
    <col min="12" max="12" width="20.5703125" style="30" customWidth="1"/>
    <col min="13" max="13" width="21.28515625" style="30" customWidth="1"/>
    <col min="14" max="14" width="21.5703125" style="30" customWidth="1"/>
    <col min="15" max="16" width="20.28515625" style="30" customWidth="1"/>
    <col min="17" max="17" width="36" style="30" customWidth="1"/>
    <col min="18" max="18" width="27.85546875" style="30" customWidth="1"/>
    <col min="19" max="19" width="33" style="30" customWidth="1"/>
    <col min="20" max="20" width="21.42578125" style="30" customWidth="1"/>
    <col min="21" max="21" width="9.140625" style="30" hidden="1" customWidth="1"/>
    <col min="22" max="16384" width="9.140625" style="30"/>
  </cols>
  <sheetData>
    <row r="1" spans="1:22" s="4" customFormat="1" ht="94.5" customHeight="1" x14ac:dyDescent="0.45">
      <c r="A1" s="1"/>
      <c r="B1" s="58" t="s">
        <v>0</v>
      </c>
      <c r="C1" s="58"/>
      <c r="D1" s="58"/>
      <c r="E1" s="59" t="s">
        <v>1</v>
      </c>
      <c r="F1" s="59"/>
      <c r="G1" s="59"/>
      <c r="H1" s="59"/>
      <c r="I1" s="59"/>
      <c r="J1" s="59"/>
      <c r="K1" s="59"/>
      <c r="L1" s="59"/>
      <c r="M1" s="60" t="s">
        <v>102</v>
      </c>
      <c r="N1" s="60"/>
      <c r="O1" s="60"/>
      <c r="P1" s="60"/>
      <c r="Q1" s="61" t="s">
        <v>3</v>
      </c>
      <c r="R1" s="61"/>
      <c r="S1" s="60" t="s">
        <v>4</v>
      </c>
      <c r="T1" s="60"/>
      <c r="U1" s="3"/>
    </row>
    <row r="2" spans="1:22" s="9" customFormat="1" ht="97.5" customHeight="1" x14ac:dyDescent="0.25">
      <c r="A2" s="5"/>
      <c r="B2" s="63" t="s">
        <v>5</v>
      </c>
      <c r="C2" s="63"/>
      <c r="D2" s="64" t="s">
        <v>103</v>
      </c>
      <c r="E2" s="65"/>
      <c r="F2" s="60" t="s">
        <v>6</v>
      </c>
      <c r="G2" s="60"/>
      <c r="H2" s="60"/>
      <c r="I2" s="2"/>
      <c r="J2" s="6" t="s">
        <v>7</v>
      </c>
      <c r="K2" s="2" t="s">
        <v>8</v>
      </c>
      <c r="L2" s="6"/>
      <c r="M2" s="6" t="s">
        <v>9</v>
      </c>
      <c r="N2" s="6"/>
      <c r="O2" s="71" t="s">
        <v>104</v>
      </c>
      <c r="P2" s="71"/>
      <c r="Q2" s="7" t="s">
        <v>10</v>
      </c>
      <c r="R2" s="63"/>
      <c r="S2" s="63"/>
      <c r="T2" s="63"/>
      <c r="U2" s="8"/>
    </row>
    <row r="3" spans="1:22" s="26" customFormat="1" ht="84" customHeight="1" x14ac:dyDescent="0.25">
      <c r="A3" s="23" t="s">
        <v>11</v>
      </c>
      <c r="B3" s="25" t="s">
        <v>12</v>
      </c>
      <c r="C3" s="25" t="s">
        <v>13</v>
      </c>
      <c r="D3" s="25" t="s">
        <v>14</v>
      </c>
      <c r="E3" s="25" t="s">
        <v>15</v>
      </c>
      <c r="F3" s="25" t="s">
        <v>59</v>
      </c>
      <c r="G3" s="25" t="s">
        <v>105</v>
      </c>
      <c r="H3" s="25" t="s">
        <v>106</v>
      </c>
      <c r="I3" s="25" t="s">
        <v>107</v>
      </c>
      <c r="J3" s="25" t="s">
        <v>20</v>
      </c>
      <c r="K3" s="25" t="s">
        <v>21</v>
      </c>
      <c r="L3" s="25" t="s">
        <v>22</v>
      </c>
      <c r="M3" s="25" t="s">
        <v>23</v>
      </c>
      <c r="N3" s="25" t="s">
        <v>24</v>
      </c>
      <c r="O3" s="25" t="s">
        <v>25</v>
      </c>
      <c r="P3" s="25" t="s">
        <v>26</v>
      </c>
      <c r="Q3" s="25" t="s">
        <v>27</v>
      </c>
      <c r="R3" s="25" t="s">
        <v>28</v>
      </c>
      <c r="S3" s="25" t="s">
        <v>29</v>
      </c>
      <c r="T3" s="25" t="s">
        <v>30</v>
      </c>
      <c r="U3" s="25"/>
    </row>
    <row r="4" spans="1:22" s="26" customFormat="1" ht="84" customHeight="1" x14ac:dyDescent="0.25">
      <c r="A4" s="27"/>
      <c r="B4" s="10">
        <v>1</v>
      </c>
      <c r="C4" s="11" t="s">
        <v>108</v>
      </c>
      <c r="D4" s="11" t="s">
        <v>109</v>
      </c>
      <c r="E4" s="29" t="s">
        <v>101</v>
      </c>
      <c r="F4" s="29">
        <v>130</v>
      </c>
      <c r="G4" s="29"/>
      <c r="H4" s="10"/>
      <c r="I4" s="11"/>
      <c r="J4" s="12" t="str">
        <f>+CONCATENATE(D4,"&amp;VISUAL")</f>
        <v>UPRIGHT GXL W110 1.8 L6700 SB&amp;VISUAL</v>
      </c>
      <c r="K4" s="25"/>
      <c r="L4" s="25"/>
      <c r="M4" s="25"/>
      <c r="N4" s="25"/>
      <c r="O4" s="25"/>
      <c r="P4" s="25"/>
      <c r="Q4" s="25"/>
      <c r="R4" s="25"/>
      <c r="S4" s="25"/>
      <c r="T4" s="25"/>
      <c r="U4" s="28"/>
    </row>
    <row r="5" spans="1:22" s="26" customFormat="1" ht="84" customHeight="1" x14ac:dyDescent="0.25">
      <c r="A5" s="27"/>
      <c r="B5" s="10">
        <v>2</v>
      </c>
      <c r="C5" s="11" t="s">
        <v>110</v>
      </c>
      <c r="D5" s="11" t="s">
        <v>111</v>
      </c>
      <c r="E5" s="29" t="s">
        <v>101</v>
      </c>
      <c r="F5" s="29">
        <v>150</v>
      </c>
      <c r="G5" s="29"/>
      <c r="H5" s="10"/>
      <c r="I5" s="11"/>
      <c r="J5" s="12" t="s">
        <v>111</v>
      </c>
      <c r="K5" s="25"/>
      <c r="L5" s="25"/>
      <c r="M5" s="25"/>
      <c r="N5" s="25"/>
      <c r="O5" s="25"/>
      <c r="P5" s="25"/>
      <c r="Q5" s="25"/>
      <c r="R5" s="25"/>
      <c r="S5" s="25"/>
      <c r="T5" s="25"/>
      <c r="U5" s="28"/>
    </row>
    <row r="6" spans="1:22" s="26" customFormat="1" ht="84" customHeight="1" x14ac:dyDescent="0.25">
      <c r="A6" s="27"/>
      <c r="B6" s="10">
        <v>3</v>
      </c>
      <c r="C6" s="11" t="s">
        <v>112</v>
      </c>
      <c r="D6" s="11" t="s">
        <v>113</v>
      </c>
      <c r="E6" s="11" t="s">
        <v>114</v>
      </c>
      <c r="F6" s="29">
        <v>1002</v>
      </c>
      <c r="G6" s="29"/>
      <c r="H6" s="10"/>
      <c r="I6" s="11"/>
      <c r="J6" s="12" t="s">
        <v>113</v>
      </c>
      <c r="K6" s="25"/>
      <c r="L6" s="25"/>
      <c r="M6" s="25"/>
      <c r="N6" s="25"/>
      <c r="O6" s="25"/>
      <c r="P6" s="25"/>
      <c r="Q6" s="25"/>
      <c r="R6" s="25"/>
      <c r="S6" s="25"/>
      <c r="T6" s="25"/>
      <c r="U6" s="28"/>
    </row>
    <row r="7" spans="1:22" s="26" customFormat="1" ht="84" customHeight="1" x14ac:dyDescent="0.25">
      <c r="A7" s="27"/>
      <c r="B7" s="10">
        <v>4</v>
      </c>
      <c r="C7" s="11" t="s">
        <v>112</v>
      </c>
      <c r="D7" s="11" t="s">
        <v>113</v>
      </c>
      <c r="E7" s="11" t="s">
        <v>114</v>
      </c>
      <c r="F7" s="29">
        <v>1400</v>
      </c>
      <c r="G7" s="29"/>
      <c r="H7" s="10"/>
      <c r="I7" s="11"/>
      <c r="J7" s="12" t="s">
        <v>113</v>
      </c>
      <c r="K7" s="25"/>
      <c r="L7" s="25"/>
      <c r="M7" s="25"/>
      <c r="N7" s="25"/>
      <c r="O7" s="25"/>
      <c r="P7" s="25"/>
      <c r="Q7" s="25"/>
      <c r="R7" s="25"/>
      <c r="S7" s="25"/>
      <c r="T7" s="25"/>
      <c r="U7" s="28"/>
    </row>
    <row r="8" spans="1:22" s="26" customFormat="1" ht="84" customHeight="1" x14ac:dyDescent="0.25">
      <c r="A8" s="27"/>
      <c r="B8" s="10">
        <v>5</v>
      </c>
      <c r="C8" s="11" t="s">
        <v>115</v>
      </c>
      <c r="D8" s="11" t="s">
        <v>116</v>
      </c>
      <c r="E8" s="29" t="s">
        <v>114</v>
      </c>
      <c r="F8" s="29">
        <v>320</v>
      </c>
      <c r="G8" s="29"/>
      <c r="H8" s="10"/>
      <c r="I8" s="11"/>
      <c r="J8" s="12" t="s">
        <v>116</v>
      </c>
      <c r="K8" s="25"/>
      <c r="L8" s="25"/>
      <c r="M8" s="25"/>
      <c r="N8" s="25"/>
      <c r="O8" s="25"/>
      <c r="P8" s="25"/>
      <c r="Q8" s="25"/>
      <c r="R8" s="25"/>
      <c r="S8" s="25"/>
      <c r="T8" s="25"/>
      <c r="U8" s="28"/>
    </row>
    <row r="9" spans="1:22" s="26" customFormat="1" ht="84" customHeight="1" x14ac:dyDescent="0.25">
      <c r="A9" s="27"/>
      <c r="B9" s="10">
        <v>6</v>
      </c>
      <c r="C9" s="11" t="s">
        <v>115</v>
      </c>
      <c r="D9" s="11" t="s">
        <v>116</v>
      </c>
      <c r="E9" s="29" t="s">
        <v>114</v>
      </c>
      <c r="F9" s="29">
        <v>200</v>
      </c>
      <c r="G9" s="29"/>
      <c r="H9" s="10"/>
      <c r="I9" s="11"/>
      <c r="J9" s="12" t="s">
        <v>116</v>
      </c>
      <c r="K9" s="25"/>
      <c r="L9" s="25"/>
      <c r="M9" s="25"/>
      <c r="N9" s="25"/>
      <c r="O9" s="25"/>
      <c r="P9" s="25"/>
      <c r="Q9" s="25"/>
      <c r="R9" s="25"/>
      <c r="S9" s="25"/>
      <c r="T9" s="25"/>
      <c r="U9" s="28"/>
    </row>
    <row r="10" spans="1:22" s="26" customFormat="1" ht="84" customHeight="1" x14ac:dyDescent="0.25">
      <c r="A10" s="27"/>
      <c r="B10" s="10">
        <v>7</v>
      </c>
      <c r="C10" s="11" t="s">
        <v>117</v>
      </c>
      <c r="D10" s="11" t="s">
        <v>118</v>
      </c>
      <c r="E10" s="29" t="s">
        <v>119</v>
      </c>
      <c r="F10" s="29">
        <v>200</v>
      </c>
      <c r="G10" s="29"/>
      <c r="H10" s="10"/>
      <c r="I10" s="11"/>
      <c r="J10" s="12" t="s">
        <v>118</v>
      </c>
      <c r="K10" s="25"/>
      <c r="L10" s="25"/>
      <c r="M10" s="25"/>
      <c r="N10" s="25"/>
      <c r="O10" s="25"/>
      <c r="P10" s="25"/>
      <c r="Q10" s="25"/>
      <c r="R10" s="25"/>
      <c r="S10" s="25"/>
      <c r="T10" s="25"/>
      <c r="U10" s="28"/>
    </row>
    <row r="11" spans="1:22" s="26" customFormat="1" ht="84" customHeight="1" x14ac:dyDescent="0.25">
      <c r="A11" s="27"/>
      <c r="B11" s="10">
        <v>8</v>
      </c>
      <c r="C11" s="11" t="s">
        <v>117</v>
      </c>
      <c r="D11" s="11" t="s">
        <v>118</v>
      </c>
      <c r="E11" s="29" t="s">
        <v>119</v>
      </c>
      <c r="F11" s="29">
        <v>202</v>
      </c>
      <c r="G11" s="29"/>
      <c r="H11" s="10"/>
      <c r="I11" s="11"/>
      <c r="J11" s="12" t="s">
        <v>118</v>
      </c>
      <c r="K11" s="25"/>
      <c r="L11" s="25"/>
      <c r="M11" s="25"/>
      <c r="N11" s="25"/>
      <c r="O11" s="25"/>
      <c r="P11" s="25"/>
      <c r="Q11" s="25"/>
      <c r="R11" s="25"/>
      <c r="S11" s="25"/>
      <c r="T11" s="25"/>
      <c r="U11" s="28"/>
    </row>
    <row r="12" spans="1:22" s="26" customFormat="1" ht="84" customHeight="1" x14ac:dyDescent="0.25">
      <c r="A12" s="27"/>
      <c r="B12" s="10">
        <v>9</v>
      </c>
      <c r="C12" s="11" t="s">
        <v>120</v>
      </c>
      <c r="D12" s="11" t="s">
        <v>121</v>
      </c>
      <c r="E12" s="29" t="s">
        <v>122</v>
      </c>
      <c r="F12" s="29">
        <v>50</v>
      </c>
      <c r="G12" s="29"/>
      <c r="H12" s="10"/>
      <c r="I12" s="11"/>
      <c r="J12" s="12" t="str">
        <f>+CONCATENATE(D12,"&amp;VISUAL")</f>
        <v>Bm TPSTHEM+3HH100 1.5 L1490 OR&amp;VISUAL</v>
      </c>
      <c r="K12" s="25"/>
      <c r="L12" s="25"/>
      <c r="M12" s="25"/>
      <c r="N12" s="25"/>
      <c r="O12" s="25"/>
      <c r="P12" s="25"/>
      <c r="Q12" s="25"/>
      <c r="R12" s="25"/>
      <c r="S12" s="25"/>
      <c r="T12" s="25"/>
      <c r="U12" s="28"/>
    </row>
    <row r="13" spans="1:22" s="26" customFormat="1" ht="84" customHeight="1" x14ac:dyDescent="0.25">
      <c r="A13" s="27"/>
      <c r="B13" s="10">
        <v>10</v>
      </c>
      <c r="C13" s="11" t="s">
        <v>120</v>
      </c>
      <c r="D13" s="11" t="s">
        <v>121</v>
      </c>
      <c r="E13" s="29" t="s">
        <v>122</v>
      </c>
      <c r="F13" s="29">
        <v>161</v>
      </c>
      <c r="G13" s="29"/>
      <c r="H13" s="10"/>
      <c r="I13" s="11"/>
      <c r="J13" s="12" t="str">
        <f>+CONCATENATE(D13,"&amp;VISUAL")</f>
        <v>Bm TPSTHEM+3HH100 1.5 L1490 OR&amp;VISUAL</v>
      </c>
      <c r="K13" s="25"/>
      <c r="L13" s="25"/>
      <c r="M13" s="25"/>
      <c r="N13" s="25"/>
      <c r="O13" s="25"/>
      <c r="P13" s="25"/>
      <c r="Q13" s="25"/>
      <c r="R13" s="25"/>
      <c r="S13" s="25"/>
      <c r="T13" s="25"/>
      <c r="U13" s="28"/>
    </row>
    <row r="14" spans="1:22" s="15" customFormat="1" ht="105" customHeight="1" x14ac:dyDescent="0.25">
      <c r="A14" s="13" t="s">
        <v>33</v>
      </c>
      <c r="B14" s="35" t="s">
        <v>34</v>
      </c>
      <c r="C14" s="36"/>
      <c r="D14" s="36"/>
      <c r="E14" s="36"/>
      <c r="F14" s="36"/>
      <c r="G14" s="36"/>
      <c r="H14" s="36"/>
      <c r="I14" s="72" t="s">
        <v>123</v>
      </c>
      <c r="J14" s="73"/>
      <c r="K14" s="14"/>
      <c r="L14" s="37" t="s">
        <v>36</v>
      </c>
      <c r="M14" s="38"/>
      <c r="N14" s="39"/>
      <c r="O14" s="40"/>
      <c r="P14" s="40"/>
      <c r="Q14" s="40"/>
      <c r="R14" s="41"/>
      <c r="S14" s="42" t="s">
        <v>37</v>
      </c>
      <c r="T14" s="43"/>
      <c r="U14" s="44"/>
    </row>
    <row r="15" spans="1:22" s="15" customFormat="1" ht="67.5" x14ac:dyDescent="0.25">
      <c r="A15" s="13" t="s">
        <v>38</v>
      </c>
      <c r="B15" s="45" t="s">
        <v>124</v>
      </c>
      <c r="C15" s="46"/>
      <c r="D15" s="47"/>
      <c r="E15" s="51" t="s">
        <v>125</v>
      </c>
      <c r="F15" s="51"/>
      <c r="G15" s="51"/>
      <c r="H15" s="51"/>
      <c r="I15" s="51"/>
      <c r="J15" s="51"/>
      <c r="K15" s="51"/>
      <c r="L15" s="51"/>
      <c r="M15" s="51"/>
      <c r="N15" s="51"/>
      <c r="O15" s="51"/>
      <c r="P15" s="52"/>
      <c r="Q15" s="16" t="s">
        <v>41</v>
      </c>
      <c r="R15" s="17"/>
      <c r="S15" s="18" t="s">
        <v>42</v>
      </c>
      <c r="T15" s="18" t="s">
        <v>43</v>
      </c>
      <c r="U15" s="19"/>
      <c r="V15" s="15" t="s">
        <v>44</v>
      </c>
    </row>
    <row r="16" spans="1:22" ht="46.5" x14ac:dyDescent="0.25">
      <c r="A16" s="13" t="s">
        <v>38</v>
      </c>
      <c r="B16" s="48"/>
      <c r="C16" s="49"/>
      <c r="D16" s="50"/>
      <c r="E16" s="53"/>
      <c r="F16" s="53"/>
      <c r="G16" s="53"/>
      <c r="H16" s="53"/>
      <c r="I16" s="53"/>
      <c r="J16" s="53"/>
      <c r="K16" s="53"/>
      <c r="L16" s="53"/>
      <c r="M16" s="53"/>
      <c r="N16" s="53"/>
      <c r="O16" s="53"/>
      <c r="P16" s="54"/>
      <c r="Q16" s="16" t="s">
        <v>45</v>
      </c>
      <c r="R16" s="17"/>
      <c r="S16" s="55" t="s">
        <v>46</v>
      </c>
      <c r="T16" s="55" t="s">
        <v>47</v>
      </c>
      <c r="U16" s="31"/>
    </row>
    <row r="17" spans="1:31" ht="46.5" x14ac:dyDescent="0.25">
      <c r="A17" s="13" t="s">
        <v>48</v>
      </c>
      <c r="B17" s="48"/>
      <c r="C17" s="49"/>
      <c r="D17" s="50"/>
      <c r="E17" s="53"/>
      <c r="F17" s="53"/>
      <c r="G17" s="53"/>
      <c r="H17" s="53"/>
      <c r="I17" s="53"/>
      <c r="J17" s="53"/>
      <c r="K17" s="53"/>
      <c r="L17" s="53"/>
      <c r="M17" s="53"/>
      <c r="N17" s="53"/>
      <c r="O17" s="53"/>
      <c r="P17" s="54"/>
      <c r="Q17" s="16" t="s">
        <v>49</v>
      </c>
      <c r="R17" s="17"/>
      <c r="S17" s="56"/>
      <c r="T17" s="56"/>
      <c r="U17" s="20"/>
      <c r="V17" s="21"/>
      <c r="W17" s="21"/>
      <c r="X17" s="21"/>
      <c r="Y17" s="21"/>
      <c r="Z17" s="21"/>
      <c r="AA17" s="21"/>
      <c r="AB17" s="21"/>
      <c r="AC17" s="21"/>
      <c r="AD17" s="21"/>
      <c r="AE17" s="21"/>
    </row>
    <row r="18" spans="1:31" ht="46.5" x14ac:dyDescent="0.25">
      <c r="A18" s="13" t="s">
        <v>48</v>
      </c>
      <c r="B18" s="48"/>
      <c r="C18" s="49"/>
      <c r="D18" s="50"/>
      <c r="E18" s="53"/>
      <c r="F18" s="53"/>
      <c r="G18" s="53"/>
      <c r="H18" s="53"/>
      <c r="I18" s="53"/>
      <c r="J18" s="53"/>
      <c r="K18" s="53"/>
      <c r="L18" s="53"/>
      <c r="M18" s="53"/>
      <c r="N18" s="53"/>
      <c r="O18" s="53"/>
      <c r="P18" s="54"/>
      <c r="Q18" s="22" t="s">
        <v>50</v>
      </c>
      <c r="R18" s="17"/>
      <c r="S18" s="57" t="s">
        <v>51</v>
      </c>
      <c r="T18" s="57" t="s">
        <v>52</v>
      </c>
      <c r="U18" s="31"/>
    </row>
    <row r="19" spans="1:31" ht="67.5" x14ac:dyDescent="0.25">
      <c r="A19" s="13" t="s">
        <v>53</v>
      </c>
      <c r="B19" s="48"/>
      <c r="C19" s="49"/>
      <c r="D19" s="50"/>
      <c r="E19" s="53"/>
      <c r="F19" s="53"/>
      <c r="G19" s="53"/>
      <c r="H19" s="53"/>
      <c r="I19" s="53"/>
      <c r="J19" s="53"/>
      <c r="K19" s="53"/>
      <c r="L19" s="53"/>
      <c r="M19" s="53"/>
      <c r="N19" s="53"/>
      <c r="O19" s="53"/>
      <c r="P19" s="54"/>
      <c r="Q19" s="16" t="s">
        <v>54</v>
      </c>
      <c r="R19" s="17"/>
      <c r="S19" s="57"/>
      <c r="T19" s="57"/>
      <c r="U19" s="31"/>
    </row>
    <row r="20" spans="1:31" ht="37.5" customHeight="1" x14ac:dyDescent="0.25">
      <c r="A20"/>
      <c r="B20"/>
      <c r="C20"/>
      <c r="D20"/>
      <c r="E20"/>
      <c r="F20"/>
      <c r="G20"/>
      <c r="H20"/>
      <c r="I20"/>
      <c r="J20"/>
      <c r="K20"/>
      <c r="L20"/>
      <c r="M20"/>
      <c r="N20"/>
      <c r="O20"/>
      <c r="P20"/>
      <c r="Q20"/>
      <c r="R20"/>
      <c r="S20"/>
      <c r="T20"/>
      <c r="U20"/>
      <c r="V20"/>
      <c r="W20"/>
      <c r="X20"/>
      <c r="Y20"/>
      <c r="Z20"/>
      <c r="AA20"/>
      <c r="AB20"/>
      <c r="AC20"/>
      <c r="AD20"/>
      <c r="AE20"/>
    </row>
    <row r="21" spans="1:31" x14ac:dyDescent="0.25">
      <c r="A21"/>
      <c r="B21"/>
      <c r="C21"/>
      <c r="D21"/>
      <c r="E21"/>
      <c r="F21"/>
      <c r="G21"/>
      <c r="H21"/>
      <c r="I21"/>
      <c r="J21"/>
      <c r="K21"/>
      <c r="L21"/>
      <c r="M21"/>
      <c r="N21"/>
      <c r="O21"/>
      <c r="P21"/>
      <c r="Q21"/>
      <c r="R21"/>
      <c r="S21"/>
      <c r="T21"/>
      <c r="U21"/>
      <c r="V21"/>
      <c r="W21"/>
      <c r="X21"/>
      <c r="Y21"/>
      <c r="Z21"/>
      <c r="AA21"/>
      <c r="AB21"/>
      <c r="AC21"/>
      <c r="AD21"/>
      <c r="AE21"/>
    </row>
    <row r="22" spans="1:31" x14ac:dyDescent="0.25">
      <c r="A22"/>
      <c r="B22"/>
      <c r="C22"/>
      <c r="D22"/>
      <c r="E22"/>
      <c r="F22"/>
      <c r="G22"/>
      <c r="H22"/>
      <c r="I22"/>
      <c r="J22"/>
      <c r="K22"/>
      <c r="L22"/>
      <c r="M22"/>
      <c r="N22"/>
      <c r="O22"/>
      <c r="P22"/>
      <c r="Q22"/>
      <c r="R22"/>
      <c r="S22"/>
      <c r="T22"/>
      <c r="U22"/>
      <c r="V22"/>
      <c r="W22"/>
      <c r="X22"/>
      <c r="Y22"/>
      <c r="Z22"/>
      <c r="AA22"/>
      <c r="AB22"/>
      <c r="AC22"/>
      <c r="AD22"/>
      <c r="AE22"/>
    </row>
    <row r="23" spans="1:31" x14ac:dyDescent="0.25">
      <c r="A23"/>
      <c r="B23"/>
      <c r="C23"/>
      <c r="D23"/>
      <c r="E23"/>
      <c r="F23"/>
      <c r="G23"/>
      <c r="H23"/>
      <c r="I23"/>
      <c r="J23"/>
      <c r="K23"/>
      <c r="L23"/>
      <c r="M23"/>
      <c r="N23"/>
      <c r="O23"/>
      <c r="P23"/>
      <c r="Q23"/>
      <c r="R23"/>
      <c r="S23"/>
      <c r="T23"/>
      <c r="U23"/>
      <c r="V23"/>
      <c r="W23"/>
      <c r="X23"/>
      <c r="Y23"/>
      <c r="Z23"/>
      <c r="AA23"/>
      <c r="AB23"/>
      <c r="AC23"/>
      <c r="AD23"/>
      <c r="AE23"/>
    </row>
    <row r="24" spans="1:31" x14ac:dyDescent="0.25">
      <c r="A24"/>
      <c r="B24"/>
      <c r="C24"/>
      <c r="D24"/>
      <c r="E24"/>
      <c r="F24"/>
      <c r="G24"/>
      <c r="H24"/>
      <c r="I24"/>
      <c r="J24"/>
      <c r="K24"/>
      <c r="L24"/>
      <c r="M24"/>
      <c r="N24"/>
      <c r="O24"/>
      <c r="P24"/>
      <c r="Q24"/>
      <c r="R24"/>
      <c r="S24"/>
      <c r="T24"/>
      <c r="U24"/>
      <c r="V24"/>
      <c r="W24"/>
      <c r="X24"/>
      <c r="Y24"/>
      <c r="Z24"/>
      <c r="AA24"/>
      <c r="AB24"/>
      <c r="AC24"/>
      <c r="AD24"/>
      <c r="AE24"/>
    </row>
    <row r="25" spans="1:31" x14ac:dyDescent="0.25">
      <c r="A25"/>
      <c r="B25"/>
      <c r="C25"/>
      <c r="D25"/>
      <c r="E25"/>
      <c r="F25"/>
      <c r="G25"/>
      <c r="H25"/>
      <c r="I25"/>
      <c r="J25"/>
      <c r="K25"/>
      <c r="L25"/>
      <c r="M25"/>
      <c r="N25"/>
      <c r="O25"/>
      <c r="P25"/>
      <c r="Q25"/>
      <c r="R25"/>
      <c r="S25"/>
      <c r="T25"/>
      <c r="U25"/>
      <c r="V25"/>
      <c r="W25"/>
      <c r="X25"/>
      <c r="Y25"/>
      <c r="Z25"/>
      <c r="AA25"/>
      <c r="AB25"/>
      <c r="AC25"/>
      <c r="AD25"/>
      <c r="AE25"/>
    </row>
    <row r="26" spans="1:31" ht="27.75" x14ac:dyDescent="0.25">
      <c r="A26" s="23"/>
      <c r="B26"/>
      <c r="C26"/>
      <c r="D26"/>
      <c r="E26"/>
      <c r="F26"/>
      <c r="G26"/>
      <c r="H26"/>
      <c r="I26"/>
      <c r="J26"/>
      <c r="K26"/>
      <c r="L26"/>
      <c r="M26"/>
    </row>
    <row r="27" spans="1:31" ht="27.75" x14ac:dyDescent="0.25">
      <c r="A27" s="23"/>
      <c r="B27"/>
      <c r="C27"/>
      <c r="D27"/>
      <c r="E27"/>
      <c r="F27"/>
      <c r="G27"/>
      <c r="H27"/>
      <c r="I27"/>
      <c r="J27"/>
      <c r="K27"/>
      <c r="L27"/>
      <c r="M27"/>
    </row>
    <row r="28" spans="1:31" ht="27.75" x14ac:dyDescent="0.25">
      <c r="A28" s="23"/>
      <c r="B28"/>
      <c r="C28"/>
      <c r="D28"/>
      <c r="E28"/>
      <c r="F28"/>
      <c r="G28"/>
      <c r="H28"/>
      <c r="I28"/>
      <c r="J28"/>
      <c r="K28"/>
      <c r="L28"/>
      <c r="M28"/>
    </row>
    <row r="29" spans="1:31" ht="27.75" x14ac:dyDescent="0.25">
      <c r="A29" s="23"/>
      <c r="B29"/>
      <c r="C29"/>
      <c r="D29"/>
      <c r="E29"/>
      <c r="F29"/>
      <c r="G29"/>
      <c r="H29"/>
      <c r="I29"/>
      <c r="J29"/>
      <c r="K29"/>
      <c r="L29"/>
      <c r="M29"/>
    </row>
    <row r="30" spans="1:31" ht="27.75" x14ac:dyDescent="0.25">
      <c r="A30" s="23"/>
      <c r="B30"/>
      <c r="C30"/>
      <c r="D30"/>
      <c r="E30"/>
      <c r="F30"/>
      <c r="G30"/>
      <c r="H30"/>
      <c r="I30"/>
      <c r="J30"/>
      <c r="K30"/>
      <c r="L30"/>
      <c r="M30"/>
    </row>
    <row r="31" spans="1:31" ht="30" x14ac:dyDescent="0.25">
      <c r="A31" s="24"/>
      <c r="B31"/>
      <c r="C31"/>
      <c r="D31"/>
      <c r="E31"/>
      <c r="F31"/>
      <c r="G31"/>
      <c r="H31"/>
      <c r="I31"/>
      <c r="J31"/>
      <c r="K31"/>
      <c r="L31"/>
      <c r="M31"/>
    </row>
    <row r="32" spans="1:31" ht="30" x14ac:dyDescent="0.25">
      <c r="A32" s="24"/>
      <c r="B32"/>
      <c r="C32"/>
      <c r="D32"/>
      <c r="E32"/>
      <c r="F32"/>
      <c r="G32"/>
      <c r="H32"/>
      <c r="I32"/>
      <c r="J32"/>
      <c r="K32"/>
      <c r="L32"/>
      <c r="M32"/>
    </row>
  </sheetData>
  <autoFilter ref="A3:T24" xr:uid="{00000000-0009-0000-0000-000005000000}"/>
  <mergeCells count="21">
    <mergeCell ref="T18:T19"/>
    <mergeCell ref="B14:H14"/>
    <mergeCell ref="I14:J14"/>
    <mergeCell ref="L14:M14"/>
    <mergeCell ref="N14:R14"/>
    <mergeCell ref="S14:U14"/>
    <mergeCell ref="B15:D19"/>
    <mergeCell ref="E15:P19"/>
    <mergeCell ref="S16:S17"/>
    <mergeCell ref="T16:T17"/>
    <mergeCell ref="S18:S19"/>
    <mergeCell ref="B1:D1"/>
    <mergeCell ref="E1:L1"/>
    <mergeCell ref="M1:P1"/>
    <mergeCell ref="Q1:R1"/>
    <mergeCell ref="S1:T1"/>
    <mergeCell ref="B2:C2"/>
    <mergeCell ref="D2:E2"/>
    <mergeCell ref="F2:H2"/>
    <mergeCell ref="O2:P2"/>
    <mergeCell ref="R2:T2"/>
  </mergeCells>
  <pageMargins left="0" right="0" top="0.51181102362204722" bottom="0" header="0.19685039370078741" footer="0.19685039370078741"/>
  <pageSetup paperSize="9" scale="19" fitToHeight="0" orientation="landscape" r:id="rId1"/>
  <headerFooter>
    <oddHeader>&amp;C&amp;"Calibri"&amp;10&amp;K000000 Internal&amp;1#_x000D_</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6</vt:i4>
      </vt:variant>
    </vt:vector>
  </HeadingPairs>
  <TitlesOfParts>
    <vt:vector size="10" baseType="lpstr">
      <vt:lpstr>GOE003683 zenith 3</vt:lpstr>
      <vt:lpstr>GOE003701 IM Rugby 32</vt:lpstr>
      <vt:lpstr>Sheet1</vt:lpstr>
      <vt:lpstr>GOM000137 DIDD Gayatri (3)</vt:lpstr>
      <vt:lpstr>'GOE003683 zenith 3'!Print_Area</vt:lpstr>
      <vt:lpstr>'GOE003701 IM Rugby 32'!Print_Area</vt:lpstr>
      <vt:lpstr>'GOM000137 DIDD Gayatri (3)'!Print_Area</vt:lpstr>
      <vt:lpstr>'GOE003683 zenith 3'!Print_Titles</vt:lpstr>
      <vt:lpstr>'GOE003701 IM Rugby 32'!Print_Titles</vt:lpstr>
      <vt:lpstr>'GOM000137 DIDD Gayatri (3)'!Print_Titles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Vishnu Ramamoorthy</dc:creator>
  <cp:keywords/>
  <dc:description/>
  <cp:lastModifiedBy>Vishnu Ramamoorthy</cp:lastModifiedBy>
  <cp:revision/>
  <cp:lastPrinted>2025-10-30T15:00:36Z</cp:lastPrinted>
  <dcterms:created xsi:type="dcterms:W3CDTF">2015-06-05T18:17:20Z</dcterms:created>
  <dcterms:modified xsi:type="dcterms:W3CDTF">2025-11-29T09:05:25Z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c9778cf-0fe9-42c9-91e8-a999b94bbe98_Enabled">
    <vt:lpwstr>true</vt:lpwstr>
  </property>
  <property fmtid="{D5CDD505-2E9C-101B-9397-08002B2CF9AE}" pid="3" name="MSIP_Label_0c9778cf-0fe9-42c9-91e8-a999b94bbe98_SetDate">
    <vt:lpwstr>2024-12-05T04:40:49Z</vt:lpwstr>
  </property>
  <property fmtid="{D5CDD505-2E9C-101B-9397-08002B2CF9AE}" pid="4" name="MSIP_Label_0c9778cf-0fe9-42c9-91e8-a999b94bbe98_Method">
    <vt:lpwstr>Standard</vt:lpwstr>
  </property>
  <property fmtid="{D5CDD505-2E9C-101B-9397-08002B2CF9AE}" pid="5" name="MSIP_Label_0c9778cf-0fe9-42c9-91e8-a999b94bbe98_Name">
    <vt:lpwstr>Internal-O365</vt:lpwstr>
  </property>
  <property fmtid="{D5CDD505-2E9C-101B-9397-08002B2CF9AE}" pid="6" name="MSIP_Label_0c9778cf-0fe9-42c9-91e8-a999b94bbe98_SiteId">
    <vt:lpwstr>d44ff723-4fa7-405e-afc0-43c21e573043</vt:lpwstr>
  </property>
  <property fmtid="{D5CDD505-2E9C-101B-9397-08002B2CF9AE}" pid="7" name="MSIP_Label_0c9778cf-0fe9-42c9-91e8-a999b94bbe98_ActionId">
    <vt:lpwstr>52538e4a-a85e-46ab-98e8-99b8f611928b</vt:lpwstr>
  </property>
  <property fmtid="{D5CDD505-2E9C-101B-9397-08002B2CF9AE}" pid="8" name="MSIP_Label_0c9778cf-0fe9-42c9-91e8-a999b94bbe98_ContentBits">
    <vt:lpwstr>1</vt:lpwstr>
  </property>
</Properties>
</file>